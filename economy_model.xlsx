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puts" sheetId="2" state="visible" r:id="rId4"/>
    <sheet name="Model" sheetId="3" state="visible" r:id="rId5"/>
    <sheet name="Notes" sheetId="4" state="visible" r:id="rId6"/>
    <sheet name="Scripted events" sheetId="5" state="visible" r:id="rId7"/>
    <sheet name="Facility cos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<sst xmlns="http://schemas.openxmlformats.org/spreadsheetml/2006/main" count="378" uniqueCount="264">
  <si>
    <t xml:space="preserve">Festival Manager: economy summary</t>
  </si>
  <si>
    <t xml:space="preserve">Player type:</t>
  </si>
  <si>
    <t xml:space="preserve">#</t>
  </si>
  <si>
    <t xml:space="preserve">Festival</t>
  </si>
  <si>
    <t xml:space="preserve">Spend (£)</t>
  </si>
  <si>
    <t xml:space="preserve">Income (£)</t>
  </si>
  <si>
    <t xml:space="preserve">Profit (£)</t>
  </si>
  <si>
    <t xml:space="preserve">Profit %</t>
  </si>
  <si>
    <t xml:space="preserve">Customer satisfaction</t>
  </si>
  <si>
    <t xml:space="preserve">Band satisfaction</t>
  </si>
  <si>
    <t xml:space="preserve">Stars</t>
  </si>
  <si>
    <t xml:space="preserve">Result</t>
  </si>
  <si>
    <t xml:space="preserve">Promoter advance (£)</t>
  </si>
  <si>
    <t xml:space="preserve">Cash at end (£)</t>
  </si>
  <si>
    <t xml:space="preserve">Festivals passed (2 or more stars)</t>
  </si>
  <si>
    <t xml:space="preserve">Average stars per festival</t>
  </si>
  <si>
    <t xml:space="preserve">How to use: change the player type, targets or cost assumptions on the Inputs sheet and watch this table. The Notes sheet lists what is invented.</t>
  </si>
  <si>
    <t xml:space="preserve">Festival Manager: live economy model (expected values, no randomness)</t>
  </si>
  <si>
    <t xml:space="preserve">Blue cells on a yellow background are inputs you can change. Everything on the Model sheet is a formula. Choose a player type in B5.</t>
  </si>
  <si>
    <t xml:space="preserve">Global settings</t>
  </si>
  <si>
    <t xml:space="preserve">Player type</t>
  </si>
  <si>
    <t xml:space="preserve">Average</t>
  </si>
  <si>
    <t xml:space="preserve">Careless, Average or Skilled (see player types below)</t>
  </si>
  <si>
    <t xml:space="preserve">Starting cash (£)</t>
  </si>
  <si>
    <t xml:space="preserve">Cash at the start of festival 1</t>
  </si>
  <si>
    <t xml:space="preserve">Multi-day price uplift per extra day</t>
  </si>
  <si>
    <t xml:space="preserve">Ticket price for a 2-day festival = fair price x (1 + 0.5)</t>
  </si>
  <si>
    <t xml:space="preserve">Food, drink and merch spend per head (share of ticket price)</t>
  </si>
  <si>
    <t xml:space="preserve">Invented</t>
  </si>
  <si>
    <t xml:space="preserve">Merch share of ticket price per head</t>
  </si>
  <si>
    <t xml:space="preserve">Used for the merch discount lever</t>
  </si>
  <si>
    <t xml:space="preserve">Lineup cost coefficient (x full-scale ticket revenue)</t>
  </si>
  <si>
    <t xml:space="preserve">Cost of a full-quality lineup</t>
  </si>
  <si>
    <t xml:space="preserve">Facilities cost coefficient (x full-scale ticket revenue)</t>
  </si>
  <si>
    <t xml:space="preserve">Cost of full facilities</t>
  </si>
  <si>
    <t xml:space="preserve">Fixed overhead (x full-scale ticket revenue)</t>
  </si>
  <si>
    <t xml:space="preserve">Staff, upkeep and ground hire. 0.37 for the MVP (no sponsors, no rewarded ads)</t>
  </si>
  <si>
    <t xml:space="preserve">Promoter advance on?</t>
  </si>
  <si>
    <t xml:space="preserve">Yes</t>
  </si>
  <si>
    <t xml:space="preserve">Yes or No</t>
  </si>
  <si>
    <t xml:space="preserve">Advance tops budget up to (x full-scale ticket revenue)</t>
  </si>
  <si>
    <t xml:space="preserve">Proposed rule</t>
  </si>
  <si>
    <t xml:space="preserve">Advance fee</t>
  </si>
  <si>
    <t xml:space="preserve">Share of the advance repaid as a fee</t>
  </si>
  <si>
    <t xml:space="preserve">Advance fee when the festival earns 3 stars</t>
  </si>
  <si>
    <t xml:space="preserve">Star-linked fee</t>
  </si>
  <si>
    <t xml:space="preserve">Profit measured against</t>
  </si>
  <si>
    <t xml:space="preserve">Planned spend</t>
  </si>
  <si>
    <t xml:space="preserve">Planned spend or Cash budget</t>
  </si>
  <si>
    <t xml:space="preserve">Rewarded ad cap (uses per festival)</t>
  </si>
  <si>
    <t xml:space="preserve">0 for the MVP (ads come after it); the agreed cap is 1</t>
  </si>
  <si>
    <t xml:space="preserve">Rewarded ad boost (share of revenue per use)</t>
  </si>
  <si>
    <t xml:space="preserve">Proposed at about 2%</t>
  </si>
  <si>
    <t xml:space="preserve">Sponsor counts last-minute ticket sales?</t>
  </si>
  <si>
    <t xml:space="preserve">No</t>
  </si>
  <si>
    <t xml:space="preserve">Proposed: No (closes the exploit)</t>
  </si>
  <si>
    <t xml:space="preserve">Starting festival reputation (0 to 1)</t>
  </si>
  <si>
    <t xml:space="preserve">Reputation carry-over (0 to 1)</t>
  </si>
  <si>
    <t xml:space="preserve">Next reputation = carry x old + (1 - carry) x average satisfaction</t>
  </si>
  <si>
    <t xml:space="preserve">Sponsorship on?</t>
  </si>
  <si>
    <t xml:space="preserve">Parked until after the MVP, so the default is No. Set to Yes (and overhead to 0.50) for the fuller design</t>
  </si>
  <si>
    <t xml:space="preserve">Sponsorship tiers</t>
  </si>
  <si>
    <t xml:space="preserve">Payout (x full-scale ticket revenue)</t>
  </si>
  <si>
    <t xml:space="preserve">Attendance needed (share of capacity)</t>
  </si>
  <si>
    <t xml:space="preserve">Low</t>
  </si>
  <si>
    <t xml:space="preserve">Middle</t>
  </si>
  <si>
    <t xml:space="preserve">High</t>
  </si>
  <si>
    <t xml:space="preserve">Player types</t>
  </si>
  <si>
    <t xml:space="preserve">Type</t>
  </si>
  <si>
    <t xml:space="preserve">Lineup quality (0 to 1)</t>
  </si>
  <si>
    <t xml:space="preserve">Facilities investment (0 to 1)</t>
  </si>
  <si>
    <t xml:space="preserve">Ticket price vs fair (1 = fair)</t>
  </si>
  <si>
    <t xml:space="preserve">Negotiation skill (0 to 1)</t>
  </si>
  <si>
    <t xml:space="preserve">Fee generosity (1 = fair)</t>
  </si>
  <si>
    <t xml:space="preserve">Event handling (0 to 1)</t>
  </si>
  <si>
    <t xml:space="preserve">Last-minute tickets (0 none, 1 sometimes, 2 smart)</t>
  </si>
  <si>
    <t xml:space="preserve">Merch discount used (0 or 1)</t>
  </si>
  <si>
    <t xml:space="preserve">Sponsor choice (0 greedy, 1 middle, 2 smart)</t>
  </si>
  <si>
    <t xml:space="preserve">Rewarded ads used (0 or 1)</t>
  </si>
  <si>
    <t xml:space="preserve">HQ upgrade bonus per festival</t>
  </si>
  <si>
    <t xml:space="preserve">Careless</t>
  </si>
  <si>
    <t xml:space="preserve">Skilled</t>
  </si>
  <si>
    <t xml:space="preserve">Festival ladder and targets</t>
  </si>
  <si>
    <t xml:space="preserve">Capacity</t>
  </si>
  <si>
    <t xml:space="preserve">Days</t>
  </si>
  <si>
    <t xml:space="preserve">Fair ticket price (£)</t>
  </si>
  <si>
    <t xml:space="preserve">Customer satisfaction target</t>
  </si>
  <si>
    <t xml:space="preserve">Band satisfaction target</t>
  </si>
  <si>
    <t xml:space="preserve">Profit target (% of spend)</t>
  </si>
  <si>
    <t xml:space="preserve">Village Green</t>
  </si>
  <si>
    <t xml:space="preserve">The Local Field</t>
  </si>
  <si>
    <t xml:space="preserve">Two Stages</t>
  </si>
  <si>
    <t xml:space="preserve">First Overnight</t>
  </si>
  <si>
    <t xml:space="preserve">Themed Weekend</t>
  </si>
  <si>
    <t xml:space="preserve">Growing Up</t>
  </si>
  <si>
    <t xml:space="preserve">The Big Booking</t>
  </si>
  <si>
    <t xml:space="preserve">Logistics</t>
  </si>
  <si>
    <t xml:space="preserve">The Council</t>
  </si>
  <si>
    <t xml:space="preserve">Flagship</t>
  </si>
  <si>
    <t xml:space="preserve">Selected player type (looked up from the table above)</t>
  </si>
  <si>
    <t xml:space="preserve">Lineup quality</t>
  </si>
  <si>
    <t xml:space="preserve">Facilities investment</t>
  </si>
  <si>
    <t xml:space="preserve">Ticket price vs fair</t>
  </si>
  <si>
    <t xml:space="preserve">Negotiation skill</t>
  </si>
  <si>
    <t xml:space="preserve">Fee generosity</t>
  </si>
  <si>
    <t xml:space="preserve">Event handling</t>
  </si>
  <si>
    <t xml:space="preserve">Last-minute tickets</t>
  </si>
  <si>
    <t xml:space="preserve">Merch discount used</t>
  </si>
  <si>
    <t xml:space="preserve">Sponsor choice</t>
  </si>
  <si>
    <t xml:space="preserve">Rewarded ads used</t>
  </si>
  <si>
    <t xml:space="preserve">Noise complaint (one per festival)</t>
  </si>
  <si>
    <t xml:space="preserve">Fine (£), flat</t>
  </si>
  <si>
    <t xml:space="preserve">As proposed; 40% of festival 1 ticket revenue</t>
  </si>
  <si>
    <t xml:space="preserve">Or scale the fine with festival size?</t>
  </si>
  <si>
    <t xml:space="preserve">Yes = fine is a share of full-scale ticket revenue instead</t>
  </si>
  <si>
    <t xml:space="preserve">Fine as a share of full-scale ticket revenue</t>
  </si>
  <si>
    <t xml:space="preserve">Used only if scaling is Yes. 5%: a fined average player loses the profit star but stays in profit</t>
  </si>
  <si>
    <t xml:space="preserve">Chance of being fined if the player ignores it</t>
  </si>
  <si>
    <t xml:space="preserve">As proposed</t>
  </si>
  <si>
    <t xml:space="preserve">Player response</t>
  </si>
  <si>
    <t xml:space="preserve">Ignore</t>
  </si>
  <si>
    <t xml:space="preserve">Ignore or Turn down</t>
  </si>
  <si>
    <t xml:space="preserve">Fine outcome to show</t>
  </si>
  <si>
    <t xml:space="preserve">Expected</t>
  </si>
  <si>
    <t xml:space="preserve">Expected (chance x fine), Fined or Not fined</t>
  </si>
  <si>
    <t xml:space="preserve">Customer satisfaction lost if turned down</t>
  </si>
  <si>
    <t xml:space="preserve">Guess: 3 points</t>
  </si>
  <si>
    <t xml:space="preserve">Band satisfaction lost if turned down</t>
  </si>
  <si>
    <t xml:space="preserve">Guess: 5 points</t>
  </si>
  <si>
    <t xml:space="preserve">Chance of a complaint at a festival</t>
  </si>
  <si>
    <t xml:space="preserve">Used for the Expected view from festival 2; festival 1 always has one (scripted)</t>
  </si>
  <si>
    <t xml:space="preserve">Model: one row per festival, for the player type chosen on Inputs</t>
  </si>
  <si>
    <t xml:space="preserve">Expected values with no randomness. A festival that earns fewer than 2 stars is marked Replay, but the cash and reputation still carry on as if it was passed (replays are not modelled here).</t>
  </si>
  <si>
    <t xml:space="preserve">Funding</t>
  </si>
  <si>
    <t xml:space="preserve">Plan</t>
  </si>
  <si>
    <t xml:space="preserve">Attendance</t>
  </si>
  <si>
    <t xml:space="preserve">Income</t>
  </si>
  <si>
    <t xml:space="preserve">Satisfaction</t>
  </si>
  <si>
    <t xml:space="preserve">Ticket price for the festival (£)</t>
  </si>
  <si>
    <t xml:space="preserve">Full-scale ticket revenue (£)</t>
  </si>
  <si>
    <t xml:space="preserve">Cash at start (£)</t>
  </si>
  <si>
    <t xml:space="preserve">Budget (£)</t>
  </si>
  <si>
    <t xml:space="preserve">Planned lineup quality</t>
  </si>
  <si>
    <t xml:space="preserve">Planned facilities investment</t>
  </si>
  <si>
    <t xml:space="preserve">Planned lineup cost (£)</t>
  </si>
  <si>
    <t xml:space="preserve">Planned facilities cost (£)</t>
  </si>
  <si>
    <t xml:space="preserve">Fixed overhead (£)</t>
  </si>
  <si>
    <t xml:space="preserve">Squeeze factor (1 = budget covers the plan)</t>
  </si>
  <si>
    <t xml:space="preserve">Lineup quality used</t>
  </si>
  <si>
    <t xml:space="preserve">Facilities investment used</t>
  </si>
  <si>
    <t xml:space="preserve">Lineup cost (£)</t>
  </si>
  <si>
    <t xml:space="preserve">Facilities cost (£)</t>
  </si>
  <si>
    <t xml:space="preserve">Total spend (£)</t>
  </si>
  <si>
    <t xml:space="preserve">Reputation at start</t>
  </si>
  <si>
    <t xml:space="preserve">Price effect (price against perceived value)</t>
  </si>
  <si>
    <t xml:space="preserve">Attendance potential</t>
  </si>
  <si>
    <t xml:space="preserve">Attendance (share of capacity)</t>
  </si>
  <si>
    <t xml:space="preserve">Facility capacity (share of capacity)</t>
  </si>
  <si>
    <t xml:space="preserve">Last-minute tickets used (0 to 1)</t>
  </si>
  <si>
    <t xml:space="preserve">Extra last-minute buyers (share of capacity)</t>
  </si>
  <si>
    <t xml:space="preserve">Attendance including last-minute</t>
  </si>
  <si>
    <t xml:space="preserve">Ticket income (£)</t>
  </si>
  <si>
    <t xml:space="preserve">Food, drink and merch income (£)</t>
  </si>
  <si>
    <t xml:space="preserve">Last-minute ticket income, net (£)</t>
  </si>
  <si>
    <t xml:space="preserve">Merch discount income (£)</t>
  </si>
  <si>
    <t xml:space="preserve">Rewarded ad uplift (£)</t>
  </si>
  <si>
    <t xml:space="preserve">Sponsor tier chosen (1 low, 2 middle, 3 high)</t>
  </si>
  <si>
    <t xml:space="preserve">Sponsor attendance needed</t>
  </si>
  <si>
    <t xml:space="preserve">Sponsor payment (£)</t>
  </si>
  <si>
    <t xml:space="preserve">Total income (£)</t>
  </si>
  <si>
    <t xml:space="preserve">Profit (% of base)</t>
  </si>
  <si>
    <t xml:space="preserve">Queue ratio (1 = no queues)</t>
  </si>
  <si>
    <t xml:space="preserve">Fair-price factor</t>
  </si>
  <si>
    <t xml:space="preserve">Event penalty</t>
  </si>
  <si>
    <t xml:space="preserve">Profit star</t>
  </si>
  <si>
    <t xml:space="preserve">Customer star</t>
  </si>
  <si>
    <t xml:space="preserve">Band star</t>
  </si>
  <si>
    <t xml:space="preserve">Advance fee repaid (£)</t>
  </si>
  <si>
    <t xml:space="preserve">Reputation after</t>
  </si>
  <si>
    <t xml:space="preserve">Noise complaint fine (£)</t>
  </si>
  <si>
    <t xml:space="preserve">Scripted event costs (£)</t>
  </si>
  <si>
    <t xml:space="preserve">What this is</t>
  </si>
  <si>
    <t xml:space="preserve">A formula-driven version of the economy model used in the earlier simulations. It uses expected values (no randomness, no replays), so results are smoother than the Monte Carlo runs.</t>
  </si>
  <si>
    <t xml:space="preserve">What is invented</t>
  </si>
  <si>
    <t xml:space="preserve">Every coefficient (costs, spend per head, satisfaction weights, sponsor tiers, player types) is an illustrative guess. Replace them with real numbers as the design firms up.</t>
  </si>
  <si>
    <t xml:space="preserve">Replays</t>
  </si>
  <si>
    <t xml:space="preserve">A festival with fewer than 2 stars shows Replay, but the sheet carries cash and reputation on as if it had passed. Use it to see where each player type would get stuck.</t>
  </si>
  <si>
    <t xml:space="preserve">Promoter advance</t>
  </si>
  <si>
    <t xml:space="preserve">If on, the budget is topped up to the chosen multiple of full-scale ticket revenue and repaid after the festival with the fee. Turn it off to see why carried-over cash alone cannot fund the ladder.</t>
  </si>
  <si>
    <t xml:space="preserve">Squeeze factor</t>
  </si>
  <si>
    <t xml:space="preserve">If the budget cannot cover the planned lineup and facilities, quality is scaled down. This is how a funding gap shows up.</t>
  </si>
  <si>
    <t xml:space="preserve">Customer: queues against facility capacity, lineup quality, fair pricing, reputation, one average event, HQ upgrade bonus. Band: fee generosity, facilities, crowd size, HQ bonus.</t>
  </si>
  <si>
    <t xml:space="preserve">Defaults</t>
  </si>
  <si>
    <t xml:space="preserve">The defaults describe the MVP: no sponsorship, no rewarded ads and overhead 0.37. The earlier Monte Carlo runs had sponsorship on and overhead 0.50, which made the profit star depend on sponsor money. Without sponsors, the profit star was out of reach at festivals 1 to 5 until overhead came down to about 0.37; below 0.35 the game becomes too easy.</t>
  </si>
  <si>
    <t xml:space="preserve">Ticket price</t>
  </si>
  <si>
    <t xml:space="preserve">The player sets the price. Attendance depends on the price against the perceived value of the lineup: perceived value = fair price x (0.6 + 0.6 x lineup quality), so a weak lineup at a high price pulls fewer people.</t>
  </si>
  <si>
    <t xml:space="preserve">Noise complaint</t>
  </si>
  <si>
    <t xml:space="preserve">One possible complaint per festival. Ignore it and risk a fine (25% chance); turn the band down and lose some customer and band satisfaction. The default scales the fine to 5% of full-scale ticket revenue (about £625 at festival 1, £2,250 at festival 2, £6,000 at festival 3), because a flat £5,000 is 40% of festival 1 revenue but trivial by festival 8.</t>
  </si>
  <si>
    <t xml:space="preserve">Not modelled</t>
  </si>
  <si>
    <t xml:space="preserve">Negotiation outcomes, band growth, weather, the stuck-player assist and mentor tips, random events beyond one average event.</t>
  </si>
  <si>
    <t xml:space="preserve">Events: decisions and consequences</t>
  </si>
  <si>
    <t xml:space="preserve">Pick an option for each event in the Choices table (blue). Costs are a share of full-scale ticket revenue so they scale with the festival (a negative cost is a net gain, as with merch). Satisfaction and reputation changes are in points (0.05 = 5 points). Random events use their chance in the Expected view, or all happen in the All happen view. The noise complaint is on the Inputs sheet.</t>
  </si>
  <si>
    <t xml:space="preserve">Random events view</t>
  </si>
  <si>
    <t xml:space="preserve">Event</t>
  </si>
  <si>
    <t xml:space="preserve">Option</t>
  </si>
  <si>
    <t xml:space="preserve">What the player does</t>
  </si>
  <si>
    <t xml:space="preserve">Cost (share of full-scale ticket revenue)</t>
  </si>
  <si>
    <t xml:space="preserve">Customer satisfaction change</t>
  </si>
  <si>
    <t xml:space="preserve">Band satisfaction change</t>
  </si>
  <si>
    <t xml:space="preserve">Reputation change</t>
  </si>
  <si>
    <t xml:space="preserve">Selected (1 = yes)</t>
  </si>
  <si>
    <t xml:space="preserve">Chance it happens</t>
  </si>
  <si>
    <t xml:space="preserve">Weight used</t>
  </si>
  <si>
    <t xml:space="preserve">Food stall queue</t>
  </si>
  <si>
    <t xml:space="preserve">A</t>
  </si>
  <si>
    <t xml:space="preserve">Add an emergency food stall (1.5 times the usual price)</t>
  </si>
  <si>
    <t xml:space="preserve">B</t>
  </si>
  <si>
    <t xml:space="preserve">Open a free water and snacks point</t>
  </si>
  <si>
    <t xml:space="preserve">C</t>
  </si>
  <si>
    <t xml:space="preserve">Do nothing</t>
  </si>
  <si>
    <t xml:space="preserve">Band running late</t>
  </si>
  <si>
    <t xml:space="preserve">Stretch the opener's set (overtime)</t>
  </si>
  <si>
    <t xml:space="preserve">Play music over the speakers</t>
  </si>
  <si>
    <t xml:space="preserve">Cut the late band's set short</t>
  </si>
  <si>
    <t xml:space="preserve">Stage equipment breaks</t>
  </si>
  <si>
    <t xml:space="preserve">Hire a replacement</t>
  </si>
  <si>
    <t xml:space="preserve">Borrow kit from another band</t>
  </si>
  <si>
    <t xml:space="preserve">Play on without it</t>
  </si>
  <si>
    <t xml:space="preserve">Headliner storms off</t>
  </si>
  <si>
    <t xml:space="preserve">Talk them back on (bonus of about 15% of their fee)</t>
  </si>
  <si>
    <t xml:space="preserve">Bring the support act back on</t>
  </si>
  <si>
    <t xml:space="preserve">Light rain</t>
  </si>
  <si>
    <t xml:space="preserve">Hand out free ponchos</t>
  </si>
  <si>
    <t xml:space="preserve">Open a covered area</t>
  </si>
  <si>
    <t xml:space="preserve">Do nothing (bar sales also dip)</t>
  </si>
  <si>
    <t xml:space="preserve">Headliner delayed</t>
  </si>
  <si>
    <t xml:space="preserve">Extend the opener (overtime)</t>
  </si>
  <si>
    <t xml:space="preserve">Wait it out</t>
  </si>
  <si>
    <t xml:space="preserve">Swap the order: support act on early</t>
  </si>
  <si>
    <t xml:space="preserve">Band pulls out</t>
  </si>
  <si>
    <t xml:space="preserve">Book a replacement at a premium</t>
  </si>
  <si>
    <t xml:space="preserve">Move an act already on the bill up a slot</t>
  </si>
  <si>
    <t xml:space="preserve">Shorten the bill</t>
  </si>
  <si>
    <t xml:space="preserve">Sound bleed</t>
  </si>
  <si>
    <t xml:space="preserve">Reschedule one act</t>
  </si>
  <si>
    <t xml:space="preserve">Turn both stages down</t>
  </si>
  <si>
    <t xml:space="preserve">Accept it</t>
  </si>
  <si>
    <t xml:space="preserve">Toilets out of order</t>
  </si>
  <si>
    <t xml:space="preserve">Call an emergency repair</t>
  </si>
  <si>
    <t xml:space="preserve">Add a temporary toilet block</t>
  </si>
  <si>
    <t xml:space="preserve">Merch selling fast</t>
  </si>
  <si>
    <t xml:space="preserve">Rush-order more stock (most of it sells)</t>
  </si>
  <si>
    <t xml:space="preserve">Raise the price by £5</t>
  </si>
  <si>
    <t xml:space="preserve">Let it sell out</t>
  </si>
  <si>
    <t xml:space="preserve">Choices</t>
  </si>
  <si>
    <t xml:space="preserve">Option chosen (A, B or C)</t>
  </si>
  <si>
    <t xml:space="preserve">Pay-to-fix (A) costs at festivals 2 and 3 are 1.5 times the first draft, so paying for everything is no longer free. Not yet modelled: fair pay and good backstage halving the headliner penalties.</t>
  </si>
  <si>
    <t xml:space="preserve">Facility unit costs, aligned with the economy model</t>
  </si>
  <si>
    <t xml:space="preserve">Full facilities (enough for the whole crowd plus 25% headroom) cost the facilities coefficient x full-scale ticket revenue. Each unit serves 100 people. Change the number of facility types (blue) per festival.</t>
  </si>
  <si>
    <t xml:space="preserve">Facility types in play</t>
  </si>
  <si>
    <t xml:space="preserve">Cost per person served, all types (£)</t>
  </si>
  <si>
    <t xml:space="preserve">Cost per unit, each serving 100 people (£)</t>
  </si>
  <si>
    <t xml:space="preserve">Full set for the whole crowd (£)</t>
  </si>
  <si>
    <t xml:space="preserve">Types assumed: festival 1 toilets and food; festivals 2 and 3 add the bar; later festivals add camping, showers, security and more (guesses to tune).</t>
  </si>
</sst>
</file>

<file path=xl/styles.xml><?xml version="1.0" encoding="utf-8"?>
<styleSheet xmlns="http://schemas.openxmlformats.org/spreadsheetml/2006/main">
  <numFmts count="14">
    <numFmt numFmtId="164" formatCode="General"/>
    <numFmt numFmtId="165" formatCode="0"/>
    <numFmt numFmtId="166" formatCode="@"/>
    <numFmt numFmtId="167" formatCode="\£#,##0"/>
    <numFmt numFmtId="168" formatCode="\£#,##0;[RED]&quot;-£&quot;#,##0"/>
    <numFmt numFmtId="169" formatCode="0.0%;[RED]\-0.0%"/>
    <numFmt numFmtId="170" formatCode="0.0%"/>
    <numFmt numFmtId="171" formatCode="0.0"/>
    <numFmt numFmtId="172" formatCode="0.00"/>
    <numFmt numFmtId="173" formatCode="0%"/>
    <numFmt numFmtId="174" formatCode="0.000"/>
    <numFmt numFmtId="175" formatCode="#,##0"/>
    <numFmt numFmtId="176" formatCode="\£#,##0.00"/>
    <numFmt numFmtId="177" formatCode="\+0.00;\-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b val="true"/>
      <sz val="11"/>
      <color rgb="FFFFFFFF"/>
      <name val="Arial"/>
      <family val="0"/>
      <charset val="1"/>
    </font>
    <font>
      <sz val="11"/>
      <name val="Arial"/>
      <family val="0"/>
      <charset val="1"/>
    </font>
    <font>
      <sz val="11"/>
      <color rgb="FF0000FF"/>
      <name val="Arial"/>
      <family val="0"/>
      <charset val="1"/>
    </font>
    <font>
      <i val="true"/>
      <sz val="11"/>
      <color rgb="FF595959"/>
      <name val="Arial"/>
      <family val="0"/>
      <charset val="1"/>
    </font>
  </fonts>
  <fills count="9">
    <fill>
      <patternFill patternType="none"/>
    </fill>
    <fill>
      <patternFill patternType="gray125"/>
    </fill>
    <fill>
      <patternFill patternType="solid">
        <fgColor rgb="FF305496"/>
        <bgColor rgb="FF595959"/>
      </patternFill>
    </fill>
    <fill>
      <patternFill patternType="solid">
        <fgColor rgb="FFD9E1F2"/>
        <bgColor rgb="FFDDEBF7"/>
      </patternFill>
    </fill>
    <fill>
      <patternFill patternType="solid">
        <fgColor rgb="FFFFF2CC"/>
        <bgColor rgb="FFFCE4D6"/>
      </patternFill>
    </fill>
    <fill>
      <patternFill patternType="solid">
        <fgColor rgb="FFE2EFDA"/>
        <bgColor rgb="FFDDEBF7"/>
      </patternFill>
    </fill>
    <fill>
      <patternFill patternType="solid">
        <fgColor rgb="FFFCE4D6"/>
        <bgColor rgb="FFFFF2CC"/>
      </patternFill>
    </fill>
    <fill>
      <patternFill patternType="solid">
        <fgColor rgb="FFF8CBAD"/>
        <bgColor rgb="FFFFC7CE"/>
      </patternFill>
    </fill>
    <fill>
      <patternFill patternType="solid">
        <fgColor rgb="FFDDEBF7"/>
        <bgColor rgb="FFD9E1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8" fillId="4" borderId="0" xfId="0" applyFont="true" applyBorder="false" applyAlignment="false" applyProtection="false">
      <alignment horizontal="general" vertical="bottom" textRotation="0" wrapText="false" indent="0" shrinkToFit="false"/>
      <protection locked="true" hidden="false"/>
    </xf>
    <xf numFmtId="172" fontId="8" fillId="4" borderId="0" xfId="0" applyFont="true" applyBorder="false" applyAlignment="false" applyProtection="false">
      <alignment horizontal="general" vertical="bottom" textRotation="0" wrapText="false" indent="0" shrinkToFit="false"/>
      <protection locked="true" hidden="false"/>
    </xf>
    <xf numFmtId="173" fontId="8" fillId="4"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74" fontId="8" fillId="4" borderId="0" xfId="0" applyFont="true" applyBorder="false" applyAlignment="false" applyProtection="false">
      <alignment horizontal="general" vertical="bottom" textRotation="0" wrapText="false" indent="0" shrinkToFit="false"/>
      <protection locked="true" hidden="false"/>
    </xf>
    <xf numFmtId="175" fontId="8" fillId="4"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70" fontId="8" fillId="4" borderId="0" xfId="0" applyFont="true" applyBorder="false" applyAlignment="false" applyProtection="false">
      <alignment horizontal="general" vertical="bottom" textRotation="0" wrapText="false" indent="0" shrinkToFit="false"/>
      <protection locked="true" hidden="false"/>
    </xf>
    <xf numFmtId="177" fontId="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12" min="3" style="0" width="16"/>
  </cols>
  <sheetData>
    <row r="1" customFormat="false" ht="17.35" hidden="false" customHeight="false" outlineLevel="0" collapsed="false">
      <c r="A1" s="1" t="s">
        <v>0</v>
      </c>
    </row>
    <row r="2" customFormat="false" ht="15" hidden="false" customHeight="false" outlineLevel="0" collapsed="false">
      <c r="A2" s="2" t="s">
        <v>1</v>
      </c>
      <c r="B2" s="2" t="str">
        <f aca="false">Inputs!B5</f>
        <v>Average</v>
      </c>
    </row>
    <row r="4" customFormat="false" ht="39.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15" hidden="false" customHeight="false" outlineLevel="0" collapsed="false">
      <c r="A5" s="4" t="n">
        <f aca="false">Model!A5</f>
        <v>1</v>
      </c>
      <c r="B5" s="5" t="str">
        <f aca="false">Model!B5</f>
        <v>Village Green</v>
      </c>
      <c r="C5" s="6" t="n">
        <f aca="false">Model!U5</f>
        <v>14062.594338951</v>
      </c>
      <c r="D5" s="6" t="n">
        <f aca="false">Model!AL5</f>
        <v>15259.5238095238</v>
      </c>
      <c r="E5" s="7" t="n">
        <f aca="false">Model!AM5</f>
        <v>528.179470572854</v>
      </c>
      <c r="F5" s="8" t="n">
        <f aca="false">Model!AN5</f>
        <v>0.0375591770509861</v>
      </c>
      <c r="G5" s="9" t="n">
        <f aca="false">Model!AR5</f>
        <v>0.6715</v>
      </c>
      <c r="H5" s="9" t="n">
        <f aca="false">Model!AS5</f>
        <v>0.721690476190476</v>
      </c>
      <c r="I5" s="4" t="n">
        <f aca="false">Model!AW5</f>
        <v>2</v>
      </c>
      <c r="J5" s="5" t="str">
        <f aca="false">Model!AX5</f>
        <v>Pass</v>
      </c>
      <c r="K5" s="6" t="n">
        <f aca="false">Model!I5</f>
        <v>0</v>
      </c>
      <c r="L5" s="6" t="n">
        <f aca="false">Model!AZ5</f>
        <v>20528.1794705729</v>
      </c>
    </row>
    <row r="6" customFormat="false" ht="15" hidden="false" customHeight="false" outlineLevel="0" collapsed="false">
      <c r="A6" s="4" t="n">
        <f aca="false">Model!A6</f>
        <v>2</v>
      </c>
      <c r="B6" s="5" t="str">
        <f aca="false">Model!B6</f>
        <v>The Local Field</v>
      </c>
      <c r="C6" s="6" t="n">
        <f aca="false">Model!U6</f>
        <v>49496.1165916732</v>
      </c>
      <c r="D6" s="6" t="n">
        <f aca="false">Model!AL6</f>
        <v>55073.2378379481</v>
      </c>
      <c r="E6" s="7" t="n">
        <f aca="false">Model!AM6</f>
        <v>3720.87124627487</v>
      </c>
      <c r="F6" s="8" t="n">
        <f aca="false">Model!AN6</f>
        <v>0.075175013768673</v>
      </c>
      <c r="G6" s="9" t="n">
        <f aca="false">Model!AR6</f>
        <v>0.676325909655965</v>
      </c>
      <c r="H6" s="9" t="n">
        <f aca="false">Model!AS6</f>
        <v>0.721693008161877</v>
      </c>
      <c r="I6" s="4" t="n">
        <f aca="false">Model!AW6</f>
        <v>2</v>
      </c>
      <c r="J6" s="5" t="str">
        <f aca="false">Model!AX6</f>
        <v>Pass</v>
      </c>
      <c r="K6" s="6" t="n">
        <f aca="false">Model!I6</f>
        <v>28971.8205294272</v>
      </c>
      <c r="L6" s="6" t="n">
        <f aca="false">Model!AZ6</f>
        <v>20772.4322533165</v>
      </c>
    </row>
    <row r="7" customFormat="false" ht="15" hidden="false" customHeight="false" outlineLevel="0" collapsed="false">
      <c r="A7" s="4" t="n">
        <f aca="false">Model!A7</f>
        <v>3</v>
      </c>
      <c r="B7" s="5" t="str">
        <f aca="false">Model!B7</f>
        <v>Two Stages</v>
      </c>
      <c r="C7" s="6" t="n">
        <f aca="false">Model!U7</f>
        <v>131989.644244462</v>
      </c>
      <c r="D7" s="6" t="n">
        <f aca="false">Model!AL7</f>
        <v>149858.387046094</v>
      </c>
      <c r="E7" s="7" t="n">
        <f aca="false">Model!AM7</f>
        <v>12858.7428016319</v>
      </c>
      <c r="F7" s="8" t="n">
        <f aca="false">Model!AN7</f>
        <v>0.0974223612408251</v>
      </c>
      <c r="G7" s="9" t="n">
        <f aca="false">Model!AR7</f>
        <v>0.693627299592581</v>
      </c>
      <c r="H7" s="9" t="n">
        <f aca="false">Model!AS7</f>
        <v>0.684415088321781</v>
      </c>
      <c r="I7" s="4" t="n">
        <f aca="false">Model!AW7</f>
        <v>2</v>
      </c>
      <c r="J7" s="5" t="str">
        <f aca="false">Model!AX7</f>
        <v>Pass</v>
      </c>
      <c r="K7" s="6" t="n">
        <f aca="false">Model!I7</f>
        <v>111227.567746684</v>
      </c>
      <c r="L7" s="6" t="n">
        <f aca="false">Model!AZ7</f>
        <v>20283.8669253464</v>
      </c>
    </row>
    <row r="8" customFormat="false" ht="15" hidden="false" customHeight="false" outlineLevel="0" collapsed="false">
      <c r="A8" s="4" t="n">
        <f aca="false">Model!A8</f>
        <v>4</v>
      </c>
      <c r="B8" s="5" t="str">
        <f aca="false">Model!B8</f>
        <v>First Overnight</v>
      </c>
      <c r="C8" s="6" t="n">
        <f aca="false">Model!U8</f>
        <v>453714.402090338</v>
      </c>
      <c r="D8" s="6" t="n">
        <f aca="false">Model!AL8</f>
        <v>521613.637317552</v>
      </c>
      <c r="E8" s="7" t="n">
        <f aca="false">Model!AM8</f>
        <v>65321.1102272149</v>
      </c>
      <c r="F8" s="8" t="n">
        <f aca="false">Model!AN8</f>
        <v>0.143969664454709</v>
      </c>
      <c r="G8" s="9" t="n">
        <f aca="false">Model!AR8</f>
        <v>0.703588800625383</v>
      </c>
      <c r="H8" s="9" t="n">
        <f aca="false">Model!AS8</f>
        <v>0.736497710156114</v>
      </c>
      <c r="I8" s="4" t="n">
        <f aca="false">Model!AW8</f>
        <v>3</v>
      </c>
      <c r="J8" s="5" t="str">
        <f aca="false">Model!AX8</f>
        <v>Pass</v>
      </c>
      <c r="K8" s="6" t="n">
        <f aca="false">Model!I8</f>
        <v>433466.133074654</v>
      </c>
      <c r="L8" s="6" t="n">
        <f aca="false">Model!AZ8</f>
        <v>59597.0091680821</v>
      </c>
    </row>
    <row r="9" customFormat="false" ht="15" hidden="false" customHeight="false" outlineLevel="0" collapsed="false">
      <c r="A9" s="4" t="n">
        <f aca="false">Model!A9</f>
        <v>5</v>
      </c>
      <c r="B9" s="5" t="str">
        <f aca="false">Model!B9</f>
        <v>Themed Weekend</v>
      </c>
      <c r="C9" s="6" t="n">
        <f aca="false">Model!U9</f>
        <v>453714.402090338</v>
      </c>
      <c r="D9" s="6" t="n">
        <f aca="false">Model!AL9</f>
        <v>528428.316083283</v>
      </c>
      <c r="E9" s="7" t="n">
        <f aca="false">Model!AM9</f>
        <v>72135.7889929453</v>
      </c>
      <c r="F9" s="8" t="n">
        <f aca="false">Model!AN9</f>
        <v>0.158989418587119</v>
      </c>
      <c r="G9" s="9" t="n">
        <f aca="false">Model!AR9</f>
        <v>0.713757844112856</v>
      </c>
      <c r="H9" s="9" t="n">
        <f aca="false">Model!AS9</f>
        <v>0.743637050388629</v>
      </c>
      <c r="I9" s="4" t="n">
        <f aca="false">Model!AW9</f>
        <v>3</v>
      </c>
      <c r="J9" s="5" t="str">
        <f aca="false">Model!AX9</f>
        <v>Pass</v>
      </c>
      <c r="K9" s="6" t="n">
        <f aca="false">Model!I9</f>
        <v>394152.990831918</v>
      </c>
      <c r="L9" s="6" t="n">
        <f aca="false">Model!AZ9</f>
        <v>108083.618711112</v>
      </c>
    </row>
    <row r="10" customFormat="false" ht="15" hidden="false" customHeight="false" outlineLevel="0" collapsed="false">
      <c r="A10" s="4" t="n">
        <f aca="false">Model!A10</f>
        <v>6</v>
      </c>
      <c r="B10" s="5" t="str">
        <f aca="false">Model!B10</f>
        <v>Growing Up</v>
      </c>
      <c r="C10" s="6" t="n">
        <f aca="false">Model!U10</f>
        <v>1539879.18285205</v>
      </c>
      <c r="D10" s="6" t="n">
        <f aca="false">Model!AL10</f>
        <v>1811804.19262935</v>
      </c>
      <c r="E10" s="7" t="n">
        <f aca="false">Model!AM10</f>
        <v>263175.009777295</v>
      </c>
      <c r="F10" s="8" t="n">
        <f aca="false">Model!AN10</f>
        <v>0.170906271549084</v>
      </c>
      <c r="G10" s="9" t="n">
        <f aca="false">Model!AR10</f>
        <v>0.723065613187786</v>
      </c>
      <c r="H10" s="9" t="n">
        <f aca="false">Model!AS10</f>
        <v>0.750541016585735</v>
      </c>
      <c r="I10" s="4" t="n">
        <f aca="false">Model!AW10</f>
        <v>3</v>
      </c>
      <c r="J10" s="5" t="str">
        <f aca="false">Model!AX10</f>
        <v>Pass</v>
      </c>
      <c r="K10" s="6" t="n">
        <f aca="false">Model!I10</f>
        <v>1431916.38128889</v>
      </c>
      <c r="L10" s="6" t="n">
        <f aca="false">Model!AZ10</f>
        <v>285343.645611074</v>
      </c>
    </row>
    <row r="11" customFormat="false" ht="15" hidden="false" customHeight="false" outlineLevel="0" collapsed="false">
      <c r="A11" s="4" t="n">
        <f aca="false">Model!A11</f>
        <v>7</v>
      </c>
      <c r="B11" s="5" t="str">
        <f aca="false">Model!B11</f>
        <v>The Big Booking</v>
      </c>
      <c r="C11" s="6" t="n">
        <f aca="false">Model!U11</f>
        <v>2804779.94019481</v>
      </c>
      <c r="D11" s="6" t="n">
        <f aca="false">Model!AL11</f>
        <v>3327154.67361103</v>
      </c>
      <c r="E11" s="7" t="n">
        <f aca="false">Model!AM11</f>
        <v>506437.233416213</v>
      </c>
      <c r="F11" s="8" t="n">
        <f aca="false">Model!AN11</f>
        <v>0.180562198894305</v>
      </c>
      <c r="G11" s="9" t="n">
        <f aca="false">Model!AR11</f>
        <v>0.731745815583858</v>
      </c>
      <c r="H11" s="9" t="n">
        <f aca="false">Model!AS11</f>
        <v>0.757273477743864</v>
      </c>
      <c r="I11" s="4" t="n">
        <f aca="false">Model!AW11</f>
        <v>3</v>
      </c>
      <c r="J11" s="5" t="str">
        <f aca="false">Model!AX11</f>
        <v>Pass</v>
      </c>
      <c r="K11" s="6" t="n">
        <f aca="false">Model!I11</f>
        <v>2519656.35438893</v>
      </c>
      <c r="L11" s="6" t="n">
        <f aca="false">Model!AZ11</f>
        <v>640601.497763952</v>
      </c>
    </row>
    <row r="12" customFormat="false" ht="15" hidden="false" customHeight="false" outlineLevel="0" collapsed="false">
      <c r="A12" s="4" t="n">
        <f aca="false">Model!A12</f>
        <v>8</v>
      </c>
      <c r="B12" s="5" t="str">
        <f aca="false">Model!B12</f>
        <v>Logistics</v>
      </c>
      <c r="C12" s="6" t="n">
        <f aca="false">Model!U12</f>
        <v>5499568.51018591</v>
      </c>
      <c r="D12" s="6" t="n">
        <f aca="false">Model!AL12</f>
        <v>6567876.02249579</v>
      </c>
      <c r="E12" s="7" t="n">
        <f aca="false">Model!AM12</f>
        <v>1037057.51230988</v>
      </c>
      <c r="F12" s="8" t="n">
        <f aca="false">Model!AN12</f>
        <v>0.188570705208803</v>
      </c>
      <c r="G12" s="9" t="n">
        <f aca="false">Model!AR12</f>
        <v>0.739968742191078</v>
      </c>
      <c r="H12" s="9" t="n">
        <f aca="false">Model!AS12</f>
        <v>0.76388097193891</v>
      </c>
      <c r="I12" s="4" t="n">
        <f aca="false">Model!AW12</f>
        <v>3</v>
      </c>
      <c r="J12" s="5" t="str">
        <f aca="false">Model!AX12</f>
        <v>Pass</v>
      </c>
      <c r="K12" s="6" t="n">
        <f aca="false">Model!I12</f>
        <v>4859398.50223605</v>
      </c>
      <c r="L12" s="6" t="n">
        <f aca="false">Model!AZ12</f>
        <v>1386095.09993967</v>
      </c>
    </row>
    <row r="13" customFormat="false" ht="15" hidden="false" customHeight="false" outlineLevel="0" collapsed="false">
      <c r="A13" s="4" t="n">
        <f aca="false">Model!A13</f>
        <v>9</v>
      </c>
      <c r="B13" s="5" t="str">
        <f aca="false">Model!B13</f>
        <v>The Council</v>
      </c>
      <c r="C13" s="6" t="n">
        <f aca="false">Model!U13</f>
        <v>7259430.4334454</v>
      </c>
      <c r="D13" s="6" t="n">
        <f aca="false">Model!AL13</f>
        <v>8712134.46269175</v>
      </c>
      <c r="E13" s="7" t="n">
        <f aca="false">Model!AM13</f>
        <v>1411454.02924635</v>
      </c>
      <c r="F13" s="8" t="n">
        <f aca="false">Model!AN13</f>
        <v>0.194430409132864</v>
      </c>
      <c r="G13" s="9" t="n">
        <f aca="false">Model!AR13</f>
        <v>0.746079655013751</v>
      </c>
      <c r="H13" s="9" t="n">
        <f aca="false">Model!AS13</f>
        <v>0.77039740909006</v>
      </c>
      <c r="I13" s="4" t="n">
        <f aca="false">Model!AW13</f>
        <v>2</v>
      </c>
      <c r="J13" s="5" t="str">
        <f aca="false">Model!AX13</f>
        <v>Pass</v>
      </c>
      <c r="K13" s="6" t="n">
        <f aca="false">Model!I13</f>
        <v>5873904.90006033</v>
      </c>
      <c r="L13" s="6" t="n">
        <f aca="false">Model!AZ13</f>
        <v>2092680.54117878</v>
      </c>
    </row>
    <row r="14" customFormat="false" ht="15" hidden="false" customHeight="false" outlineLevel="0" collapsed="false">
      <c r="A14" s="4" t="n">
        <f aca="false">Model!A14</f>
        <v>10</v>
      </c>
      <c r="B14" s="5" t="str">
        <f aca="false">Model!B14</f>
        <v>Flagship</v>
      </c>
      <c r="C14" s="6" t="n">
        <f aca="false">Model!U14</f>
        <v>17873597.6581042</v>
      </c>
      <c r="D14" s="6" t="n">
        <f aca="false">Model!AL14</f>
        <v>21537689.3911713</v>
      </c>
      <c r="E14" s="7" t="n">
        <f aca="false">Model!AM14</f>
        <v>3562529.23306711</v>
      </c>
      <c r="F14" s="8" t="n">
        <f aca="false">Model!AN14</f>
        <v>0.199317971748782</v>
      </c>
      <c r="G14" s="9" t="n">
        <f aca="false">Model!AR14</f>
        <v>0.752016167224666</v>
      </c>
      <c r="H14" s="9" t="n">
        <f aca="false">Model!AS14</f>
        <v>0.776836559782881</v>
      </c>
      <c r="I14" s="4" t="n">
        <f aca="false">Model!AW14</f>
        <v>1</v>
      </c>
      <c r="J14" s="5" t="str">
        <f aca="false">Model!AX14</f>
        <v>Replay</v>
      </c>
      <c r="K14" s="6" t="n">
        <f aca="false">Model!I14</f>
        <v>15782319.4588212</v>
      </c>
      <c r="L14" s="6" t="n">
        <f aca="false">Model!AZ14</f>
        <v>3761331.43918735</v>
      </c>
    </row>
    <row r="16" customFormat="false" ht="15" hidden="false" customHeight="false" outlineLevel="0" collapsed="false">
      <c r="A16" s="2" t="s">
        <v>14</v>
      </c>
      <c r="E16" s="2" t="n">
        <f aca="false">COUNTIF(J5:J14,"Pass")</f>
        <v>9</v>
      </c>
    </row>
    <row r="17" customFormat="false" ht="15" hidden="false" customHeight="false" outlineLevel="0" collapsed="false">
      <c r="A17" s="2" t="s">
        <v>15</v>
      </c>
      <c r="E17" s="10" t="n">
        <f aca="false">AVERAGE(I5:I14)</f>
        <v>2.4</v>
      </c>
    </row>
    <row r="19" customFormat="false" ht="15" hidden="false" customHeight="false" outlineLevel="0" collapsed="false">
      <c r="A19" s="11" t="s">
        <v>16</v>
      </c>
    </row>
  </sheetData>
  <conditionalFormatting sqref="J5:J14">
    <cfRule type="cellIs" priority="2" operator="equal" aboveAverage="0" equalAverage="0" bottom="0" percent="0" rank="0" text="" dxfId="0">
      <formula>"Pass"</formula>
    </cfRule>
    <cfRule type="cellIs" priority="3" operator="equal" aboveAverage="0" equalAverage="0" bottom="0" percent="0" rank="0" text="" dxfId="1">
      <formula>"Replay"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22"/>
    <col collapsed="false" customWidth="true" hidden="false" outlineLevel="0" max="12" min="4" style="0" width="16"/>
  </cols>
  <sheetData>
    <row r="1" customFormat="false" ht="17.35" hidden="false" customHeight="false" outlineLevel="0" collapsed="false">
      <c r="A1" s="1" t="s">
        <v>17</v>
      </c>
    </row>
    <row r="2" customFormat="false" ht="15" hidden="false" customHeight="false" outlineLevel="0" collapsed="false">
      <c r="A2" s="11" t="s">
        <v>18</v>
      </c>
    </row>
    <row r="4" customFormat="false" ht="15" hidden="false" customHeight="false" outlineLevel="0" collapsed="false">
      <c r="A4" s="12" t="s">
        <v>19</v>
      </c>
      <c r="B4" s="13"/>
      <c r="C4" s="13"/>
    </row>
    <row r="5" customFormat="false" ht="15" hidden="false" customHeight="false" outlineLevel="0" collapsed="false">
      <c r="A5" s="11" t="s">
        <v>20</v>
      </c>
      <c r="B5" s="14" t="s">
        <v>21</v>
      </c>
      <c r="C5" s="15" t="s">
        <v>22</v>
      </c>
    </row>
    <row r="6" customFormat="false" ht="15" hidden="false" customHeight="false" outlineLevel="0" collapsed="false">
      <c r="A6" s="11" t="s">
        <v>23</v>
      </c>
      <c r="B6" s="16" t="n">
        <v>20000</v>
      </c>
      <c r="C6" s="15" t="s">
        <v>24</v>
      </c>
    </row>
    <row r="7" customFormat="false" ht="15" hidden="false" customHeight="false" outlineLevel="0" collapsed="false">
      <c r="A7" s="11" t="s">
        <v>25</v>
      </c>
      <c r="B7" s="17" t="n">
        <v>0.5</v>
      </c>
      <c r="C7" s="15" t="s">
        <v>26</v>
      </c>
    </row>
    <row r="8" customFormat="false" ht="15" hidden="false" customHeight="false" outlineLevel="0" collapsed="false">
      <c r="A8" s="11" t="s">
        <v>27</v>
      </c>
      <c r="B8" s="14" t="n">
        <v>0.45</v>
      </c>
      <c r="C8" s="15" t="s">
        <v>28</v>
      </c>
    </row>
    <row r="9" customFormat="false" ht="15" hidden="false" customHeight="false" outlineLevel="0" collapsed="false">
      <c r="A9" s="11" t="s">
        <v>29</v>
      </c>
      <c r="B9" s="14" t="n">
        <v>0.17</v>
      </c>
      <c r="C9" s="15" t="s">
        <v>30</v>
      </c>
    </row>
    <row r="10" customFormat="false" ht="15" hidden="false" customHeight="false" outlineLevel="0" collapsed="false">
      <c r="A10" s="11" t="s">
        <v>31</v>
      </c>
      <c r="B10" s="17" t="n">
        <v>0.85</v>
      </c>
      <c r="C10" s="15" t="s">
        <v>32</v>
      </c>
    </row>
    <row r="11" customFormat="false" ht="15" hidden="false" customHeight="false" outlineLevel="0" collapsed="false">
      <c r="A11" s="11" t="s">
        <v>33</v>
      </c>
      <c r="B11" s="17" t="n">
        <v>0.3</v>
      </c>
      <c r="C11" s="15" t="s">
        <v>34</v>
      </c>
    </row>
    <row r="12" customFormat="false" ht="15" hidden="false" customHeight="false" outlineLevel="0" collapsed="false">
      <c r="A12" s="11" t="s">
        <v>35</v>
      </c>
      <c r="B12" s="17" t="n">
        <v>0.37</v>
      </c>
      <c r="C12" s="15" t="s">
        <v>36</v>
      </c>
    </row>
    <row r="13" customFormat="false" ht="15" hidden="false" customHeight="false" outlineLevel="0" collapsed="false">
      <c r="A13" s="11" t="s">
        <v>37</v>
      </c>
      <c r="B13" s="14" t="s">
        <v>38</v>
      </c>
      <c r="C13" s="15" t="s">
        <v>39</v>
      </c>
    </row>
    <row r="14" customFormat="false" ht="15" hidden="false" customHeight="false" outlineLevel="0" collapsed="false">
      <c r="A14" s="11" t="s">
        <v>40</v>
      </c>
      <c r="B14" s="17" t="n">
        <v>1.1</v>
      </c>
      <c r="C14" s="15" t="s">
        <v>41</v>
      </c>
    </row>
    <row r="15" customFormat="false" ht="15" hidden="false" customHeight="false" outlineLevel="0" collapsed="false">
      <c r="A15" s="11" t="s">
        <v>42</v>
      </c>
      <c r="B15" s="18" t="n">
        <v>0.12</v>
      </c>
      <c r="C15" s="15" t="s">
        <v>43</v>
      </c>
    </row>
    <row r="16" customFormat="false" ht="15" hidden="false" customHeight="false" outlineLevel="0" collapsed="false">
      <c r="A16" s="11" t="s">
        <v>44</v>
      </c>
      <c r="B16" s="18" t="n">
        <v>0.06</v>
      </c>
      <c r="C16" s="15" t="s">
        <v>45</v>
      </c>
    </row>
    <row r="17" customFormat="false" ht="15" hidden="false" customHeight="false" outlineLevel="0" collapsed="false">
      <c r="A17" s="11" t="s">
        <v>46</v>
      </c>
      <c r="B17" s="14" t="s">
        <v>47</v>
      </c>
      <c r="C17" s="15" t="s">
        <v>48</v>
      </c>
    </row>
    <row r="18" customFormat="false" ht="15" hidden="false" customHeight="false" outlineLevel="0" collapsed="false">
      <c r="A18" s="11" t="s">
        <v>49</v>
      </c>
      <c r="B18" s="14" t="n">
        <v>0</v>
      </c>
      <c r="C18" s="15" t="s">
        <v>50</v>
      </c>
    </row>
    <row r="19" customFormat="false" ht="15" hidden="false" customHeight="false" outlineLevel="0" collapsed="false">
      <c r="A19" s="11" t="s">
        <v>51</v>
      </c>
      <c r="B19" s="18" t="n">
        <v>0.02</v>
      </c>
      <c r="C19" s="15" t="s">
        <v>52</v>
      </c>
    </row>
    <row r="20" customFormat="false" ht="15" hidden="false" customHeight="false" outlineLevel="0" collapsed="false">
      <c r="A20" s="11" t="s">
        <v>53</v>
      </c>
      <c r="B20" s="14" t="s">
        <v>54</v>
      </c>
      <c r="C20" s="15" t="s">
        <v>55</v>
      </c>
    </row>
    <row r="21" customFormat="false" ht="15" hidden="false" customHeight="false" outlineLevel="0" collapsed="false">
      <c r="A21" s="11" t="s">
        <v>56</v>
      </c>
      <c r="B21" s="14" t="n">
        <v>0.5</v>
      </c>
      <c r="C21" s="15"/>
    </row>
    <row r="22" customFormat="false" ht="15" hidden="false" customHeight="false" outlineLevel="0" collapsed="false">
      <c r="A22" s="11" t="s">
        <v>57</v>
      </c>
      <c r="B22" s="17" t="n">
        <v>0.7</v>
      </c>
      <c r="C22" s="15" t="s">
        <v>58</v>
      </c>
    </row>
    <row r="23" customFormat="false" ht="15" hidden="false" customHeight="false" outlineLevel="0" collapsed="false">
      <c r="A23" s="11" t="s">
        <v>59</v>
      </c>
      <c r="B23" s="14" t="s">
        <v>54</v>
      </c>
      <c r="C23" s="15" t="s">
        <v>60</v>
      </c>
    </row>
    <row r="24" customFormat="false" ht="39.55" hidden="false" customHeight="false" outlineLevel="0" collapsed="false">
      <c r="A24" s="12" t="s">
        <v>61</v>
      </c>
      <c r="B24" s="19" t="s">
        <v>62</v>
      </c>
      <c r="C24" s="19" t="s">
        <v>63</v>
      </c>
    </row>
    <row r="25" customFormat="false" ht="15" hidden="false" customHeight="false" outlineLevel="0" collapsed="false">
      <c r="A25" s="11" t="s">
        <v>64</v>
      </c>
      <c r="B25" s="18" t="n">
        <v>0.06</v>
      </c>
      <c r="C25" s="18" t="n">
        <v>0.4</v>
      </c>
    </row>
    <row r="26" customFormat="false" ht="15" hidden="false" customHeight="false" outlineLevel="0" collapsed="false">
      <c r="A26" s="11" t="s">
        <v>65</v>
      </c>
      <c r="B26" s="18" t="n">
        <v>0.14</v>
      </c>
      <c r="C26" s="18" t="n">
        <v>0.65</v>
      </c>
    </row>
    <row r="27" customFormat="false" ht="15" hidden="false" customHeight="false" outlineLevel="0" collapsed="false">
      <c r="A27" s="11" t="s">
        <v>66</v>
      </c>
      <c r="B27" s="18" t="n">
        <v>0.24</v>
      </c>
      <c r="C27" s="18" t="n">
        <v>0.85</v>
      </c>
    </row>
    <row r="29" customFormat="false" ht="15" hidden="false" customHeight="false" outlineLevel="0" collapsed="false">
      <c r="A29" s="12" t="s">
        <v>67</v>
      </c>
      <c r="B29" s="13"/>
      <c r="C29" s="13"/>
      <c r="D29" s="13"/>
      <c r="E29" s="13"/>
      <c r="F29" s="13"/>
      <c r="G29" s="13"/>
      <c r="H29" s="13"/>
      <c r="I29" s="13"/>
      <c r="J29" s="13"/>
      <c r="K29" s="13"/>
      <c r="L29" s="13"/>
    </row>
    <row r="30" customFormat="false" ht="75" hidden="false" customHeight="true" outlineLevel="0" collapsed="false">
      <c r="A30" s="3" t="s">
        <v>68</v>
      </c>
      <c r="B30" s="3" t="s">
        <v>69</v>
      </c>
      <c r="C30" s="3" t="s">
        <v>70</v>
      </c>
      <c r="D30" s="3" t="s">
        <v>71</v>
      </c>
      <c r="E30" s="3" t="s">
        <v>72</v>
      </c>
      <c r="F30" s="3" t="s">
        <v>73</v>
      </c>
      <c r="G30" s="3" t="s">
        <v>74</v>
      </c>
      <c r="H30" s="3" t="s">
        <v>75</v>
      </c>
      <c r="I30" s="3" t="s">
        <v>76</v>
      </c>
      <c r="J30" s="3" t="s">
        <v>77</v>
      </c>
      <c r="K30" s="3" t="s">
        <v>78</v>
      </c>
      <c r="L30" s="3" t="s">
        <v>79</v>
      </c>
    </row>
    <row r="31" customFormat="false" ht="15" hidden="false" customHeight="false" outlineLevel="0" collapsed="false">
      <c r="A31" s="2" t="s">
        <v>80</v>
      </c>
      <c r="B31" s="14" t="n">
        <v>0.62</v>
      </c>
      <c r="C31" s="14" t="n">
        <v>0.6</v>
      </c>
      <c r="D31" s="14" t="n">
        <v>1.08</v>
      </c>
      <c r="E31" s="14" t="n">
        <v>0.1</v>
      </c>
      <c r="F31" s="14" t="n">
        <v>0.92</v>
      </c>
      <c r="G31" s="14" t="n">
        <v>0.3</v>
      </c>
      <c r="H31" s="14" t="n">
        <v>0</v>
      </c>
      <c r="I31" s="14" t="n">
        <v>0</v>
      </c>
      <c r="J31" s="14" t="n">
        <v>0</v>
      </c>
      <c r="K31" s="14" t="n">
        <v>0</v>
      </c>
      <c r="L31" s="20" t="n">
        <v>0</v>
      </c>
    </row>
    <row r="32" customFormat="false" ht="15" hidden="false" customHeight="false" outlineLevel="0" collapsed="false">
      <c r="A32" s="2" t="s">
        <v>21</v>
      </c>
      <c r="B32" s="14" t="n">
        <v>0.75</v>
      </c>
      <c r="C32" s="14" t="n">
        <v>0.75</v>
      </c>
      <c r="D32" s="14" t="n">
        <v>1</v>
      </c>
      <c r="E32" s="14" t="n">
        <v>0.4</v>
      </c>
      <c r="F32" s="14" t="n">
        <v>1</v>
      </c>
      <c r="G32" s="14" t="n">
        <v>0.5</v>
      </c>
      <c r="H32" s="14" t="n">
        <v>1</v>
      </c>
      <c r="I32" s="14" t="n">
        <v>0</v>
      </c>
      <c r="J32" s="14" t="n">
        <v>1</v>
      </c>
      <c r="K32" s="14" t="n">
        <v>1</v>
      </c>
      <c r="L32" s="20" t="n">
        <v>0.006</v>
      </c>
    </row>
    <row r="33" customFormat="false" ht="15" hidden="false" customHeight="false" outlineLevel="0" collapsed="false">
      <c r="A33" s="2" t="s">
        <v>81</v>
      </c>
      <c r="B33" s="14" t="n">
        <v>0.85</v>
      </c>
      <c r="C33" s="14" t="n">
        <v>0.85</v>
      </c>
      <c r="D33" s="14" t="n">
        <v>1</v>
      </c>
      <c r="E33" s="14" t="n">
        <v>0.9</v>
      </c>
      <c r="F33" s="14" t="n">
        <v>1</v>
      </c>
      <c r="G33" s="14" t="n">
        <v>0.9</v>
      </c>
      <c r="H33" s="14" t="n">
        <v>2</v>
      </c>
      <c r="I33" s="14" t="n">
        <v>1</v>
      </c>
      <c r="J33" s="14" t="n">
        <v>2</v>
      </c>
      <c r="K33" s="14" t="n">
        <v>1</v>
      </c>
      <c r="L33" s="20" t="n">
        <v>0.01</v>
      </c>
    </row>
    <row r="35" customFormat="false" ht="15" hidden="false" customHeight="false" outlineLevel="0" collapsed="false">
      <c r="A35" s="12" t="s">
        <v>82</v>
      </c>
      <c r="B35" s="13"/>
      <c r="C35" s="13"/>
      <c r="D35" s="13"/>
      <c r="E35" s="13"/>
      <c r="F35" s="13"/>
      <c r="G35" s="13"/>
      <c r="H35" s="13"/>
    </row>
    <row r="36" customFormat="false" ht="45" hidden="false" customHeight="true" outlineLevel="0" collapsed="false">
      <c r="A36" s="3" t="s">
        <v>2</v>
      </c>
      <c r="B36" s="3" t="s">
        <v>3</v>
      </c>
      <c r="C36" s="3" t="s">
        <v>83</v>
      </c>
      <c r="D36" s="3" t="s">
        <v>84</v>
      </c>
      <c r="E36" s="3" t="s">
        <v>85</v>
      </c>
      <c r="F36" s="3" t="s">
        <v>86</v>
      </c>
      <c r="G36" s="3" t="s">
        <v>87</v>
      </c>
      <c r="H36" s="3" t="s">
        <v>88</v>
      </c>
    </row>
    <row r="37" customFormat="false" ht="15" hidden="false" customHeight="false" outlineLevel="0" collapsed="false">
      <c r="A37" s="11" t="n">
        <v>1</v>
      </c>
      <c r="B37" s="11" t="s">
        <v>89</v>
      </c>
      <c r="C37" s="21" t="n">
        <v>500</v>
      </c>
      <c r="D37" s="14" t="n">
        <v>1</v>
      </c>
      <c r="E37" s="16" t="n">
        <v>25</v>
      </c>
      <c r="F37" s="18" t="n">
        <v>0.6</v>
      </c>
      <c r="G37" s="18" t="n">
        <v>0.6</v>
      </c>
      <c r="H37" s="18" t="n">
        <v>0.05</v>
      </c>
    </row>
    <row r="38" customFormat="false" ht="15" hidden="false" customHeight="false" outlineLevel="0" collapsed="false">
      <c r="A38" s="11" t="n">
        <v>2</v>
      </c>
      <c r="B38" s="11" t="s">
        <v>90</v>
      </c>
      <c r="C38" s="21" t="n">
        <v>1500</v>
      </c>
      <c r="D38" s="14" t="n">
        <v>1</v>
      </c>
      <c r="E38" s="16" t="n">
        <v>30</v>
      </c>
      <c r="F38" s="18" t="n">
        <v>0.6</v>
      </c>
      <c r="G38" s="18" t="n">
        <v>0.6</v>
      </c>
      <c r="H38" s="18" t="n">
        <v>0.1</v>
      </c>
    </row>
    <row r="39" customFormat="false" ht="15" hidden="false" customHeight="false" outlineLevel="0" collapsed="false">
      <c r="A39" s="11" t="n">
        <v>3</v>
      </c>
      <c r="B39" s="11" t="s">
        <v>91</v>
      </c>
      <c r="C39" s="21" t="n">
        <v>3000</v>
      </c>
      <c r="D39" s="14" t="n">
        <v>1</v>
      </c>
      <c r="E39" s="16" t="n">
        <v>40</v>
      </c>
      <c r="F39" s="18" t="n">
        <v>0.62</v>
      </c>
      <c r="G39" s="18" t="n">
        <v>0.62</v>
      </c>
      <c r="H39" s="18" t="n">
        <v>0.12</v>
      </c>
    </row>
    <row r="40" customFormat="false" ht="15" hidden="false" customHeight="false" outlineLevel="0" collapsed="false">
      <c r="A40" s="11" t="n">
        <v>4</v>
      </c>
      <c r="B40" s="11" t="s">
        <v>92</v>
      </c>
      <c r="C40" s="21" t="n">
        <v>5000</v>
      </c>
      <c r="D40" s="14" t="n">
        <v>2</v>
      </c>
      <c r="E40" s="16" t="n">
        <v>55</v>
      </c>
      <c r="F40" s="18" t="n">
        <v>0.64</v>
      </c>
      <c r="G40" s="18" t="n">
        <v>0.64</v>
      </c>
      <c r="H40" s="18" t="n">
        <v>0.12</v>
      </c>
    </row>
    <row r="41" customFormat="false" ht="15" hidden="false" customHeight="false" outlineLevel="0" collapsed="false">
      <c r="A41" s="11" t="n">
        <v>5</v>
      </c>
      <c r="B41" s="11" t="s">
        <v>93</v>
      </c>
      <c r="C41" s="21" t="n">
        <v>5000</v>
      </c>
      <c r="D41" s="14" t="n">
        <v>2</v>
      </c>
      <c r="E41" s="16" t="n">
        <v>55</v>
      </c>
      <c r="F41" s="18" t="n">
        <v>0.64</v>
      </c>
      <c r="G41" s="18" t="n">
        <v>0.64</v>
      </c>
      <c r="H41" s="18" t="n">
        <v>0.12</v>
      </c>
    </row>
    <row r="42" customFormat="false" ht="15" hidden="false" customHeight="false" outlineLevel="0" collapsed="false">
      <c r="A42" s="11" t="n">
        <v>6</v>
      </c>
      <c r="B42" s="11" t="s">
        <v>94</v>
      </c>
      <c r="C42" s="21" t="n">
        <v>10000</v>
      </c>
      <c r="D42" s="14" t="n">
        <v>3</v>
      </c>
      <c r="E42" s="16" t="n">
        <v>70</v>
      </c>
      <c r="F42" s="18" t="n">
        <v>0.69</v>
      </c>
      <c r="G42" s="18" t="n">
        <v>0.69</v>
      </c>
      <c r="H42" s="18" t="n">
        <v>0.16</v>
      </c>
    </row>
    <row r="43" customFormat="false" ht="15" hidden="false" customHeight="false" outlineLevel="0" collapsed="false">
      <c r="A43" s="11" t="n">
        <v>7</v>
      </c>
      <c r="B43" s="11" t="s">
        <v>95</v>
      </c>
      <c r="C43" s="21" t="n">
        <v>15000</v>
      </c>
      <c r="D43" s="14" t="n">
        <v>3</v>
      </c>
      <c r="E43" s="16" t="n">
        <v>85</v>
      </c>
      <c r="F43" s="18" t="n">
        <v>0.71</v>
      </c>
      <c r="G43" s="18" t="n">
        <v>0.71</v>
      </c>
      <c r="H43" s="18" t="n">
        <v>0.16</v>
      </c>
    </row>
    <row r="44" customFormat="false" ht="15" hidden="false" customHeight="false" outlineLevel="0" collapsed="false">
      <c r="A44" s="11" t="n">
        <v>8</v>
      </c>
      <c r="B44" s="11" t="s">
        <v>96</v>
      </c>
      <c r="C44" s="21" t="n">
        <v>25000</v>
      </c>
      <c r="D44" s="14" t="n">
        <v>3</v>
      </c>
      <c r="E44" s="16" t="n">
        <v>100</v>
      </c>
      <c r="F44" s="18" t="n">
        <v>0.73</v>
      </c>
      <c r="G44" s="18" t="n">
        <v>0.73</v>
      </c>
      <c r="H44" s="18" t="n">
        <v>0.18</v>
      </c>
    </row>
    <row r="45" customFormat="false" ht="15" hidden="false" customHeight="false" outlineLevel="0" collapsed="false">
      <c r="A45" s="11" t="n">
        <v>9</v>
      </c>
      <c r="B45" s="11" t="s">
        <v>97</v>
      </c>
      <c r="C45" s="21" t="n">
        <v>30000</v>
      </c>
      <c r="D45" s="14" t="n">
        <v>3</v>
      </c>
      <c r="E45" s="16" t="n">
        <v>110</v>
      </c>
      <c r="F45" s="18" t="n">
        <v>0.75</v>
      </c>
      <c r="G45" s="18" t="n">
        <v>0.75</v>
      </c>
      <c r="H45" s="18" t="n">
        <v>0.18</v>
      </c>
    </row>
    <row r="46" customFormat="false" ht="15" hidden="false" customHeight="false" outlineLevel="0" collapsed="false">
      <c r="A46" s="11" t="n">
        <v>10</v>
      </c>
      <c r="B46" s="11" t="s">
        <v>98</v>
      </c>
      <c r="C46" s="21" t="n">
        <v>50000</v>
      </c>
      <c r="D46" s="14" t="n">
        <v>4</v>
      </c>
      <c r="E46" s="16" t="n">
        <v>130</v>
      </c>
      <c r="F46" s="18" t="n">
        <v>0.77</v>
      </c>
      <c r="G46" s="18" t="n">
        <v>0.77</v>
      </c>
      <c r="H46" s="18" t="n">
        <v>0.2</v>
      </c>
    </row>
    <row r="48" customFormat="false" ht="15" hidden="false" customHeight="false" outlineLevel="0" collapsed="false">
      <c r="A48" s="12" t="s">
        <v>99</v>
      </c>
      <c r="B48" s="13"/>
    </row>
    <row r="49" customFormat="false" ht="15" hidden="false" customHeight="false" outlineLevel="0" collapsed="false">
      <c r="A49" s="11" t="s">
        <v>100</v>
      </c>
      <c r="B49" s="11" t="n">
        <f aca="false">INDEX(B$31:B$33,MATCH($B$5,$A$31:$A$33,0))</f>
        <v>0.75</v>
      </c>
    </row>
    <row r="50" customFormat="false" ht="15" hidden="false" customHeight="false" outlineLevel="0" collapsed="false">
      <c r="A50" s="11" t="s">
        <v>101</v>
      </c>
      <c r="B50" s="11" t="n">
        <f aca="false">INDEX(C$31:C$33,MATCH($B$5,$A$31:$A$33,0))</f>
        <v>0.75</v>
      </c>
    </row>
    <row r="51" customFormat="false" ht="15" hidden="false" customHeight="false" outlineLevel="0" collapsed="false">
      <c r="A51" s="11" t="s">
        <v>102</v>
      </c>
      <c r="B51" s="11" t="n">
        <f aca="false">INDEX(D$31:D$33,MATCH($B$5,$A$31:$A$33,0))</f>
        <v>1</v>
      </c>
    </row>
    <row r="52" customFormat="false" ht="15" hidden="false" customHeight="false" outlineLevel="0" collapsed="false">
      <c r="A52" s="11" t="s">
        <v>103</v>
      </c>
      <c r="B52" s="11" t="n">
        <f aca="false">INDEX(E$31:E$33,MATCH($B$5,$A$31:$A$33,0))</f>
        <v>0.4</v>
      </c>
    </row>
    <row r="53" customFormat="false" ht="15" hidden="false" customHeight="false" outlineLevel="0" collapsed="false">
      <c r="A53" s="11" t="s">
        <v>104</v>
      </c>
      <c r="B53" s="11" t="n">
        <f aca="false">INDEX(F$31:F$33,MATCH($B$5,$A$31:$A$33,0))</f>
        <v>1</v>
      </c>
    </row>
    <row r="54" customFormat="false" ht="15" hidden="false" customHeight="false" outlineLevel="0" collapsed="false">
      <c r="A54" s="11" t="s">
        <v>105</v>
      </c>
      <c r="B54" s="11" t="n">
        <f aca="false">INDEX(G$31:G$33,MATCH($B$5,$A$31:$A$33,0))</f>
        <v>0.5</v>
      </c>
    </row>
    <row r="55" customFormat="false" ht="15" hidden="false" customHeight="false" outlineLevel="0" collapsed="false">
      <c r="A55" s="11" t="s">
        <v>106</v>
      </c>
      <c r="B55" s="11" t="n">
        <f aca="false">INDEX(H$31:H$33,MATCH($B$5,$A$31:$A$33,0))</f>
        <v>1</v>
      </c>
    </row>
    <row r="56" customFormat="false" ht="15" hidden="false" customHeight="false" outlineLevel="0" collapsed="false">
      <c r="A56" s="11" t="s">
        <v>107</v>
      </c>
      <c r="B56" s="11" t="n">
        <f aca="false">INDEX(I$31:I$33,MATCH($B$5,$A$31:$A$33,0))</f>
        <v>0</v>
      </c>
    </row>
    <row r="57" customFormat="false" ht="15" hidden="false" customHeight="false" outlineLevel="0" collapsed="false">
      <c r="A57" s="11" t="s">
        <v>108</v>
      </c>
      <c r="B57" s="11" t="n">
        <f aca="false">INDEX(J$31:J$33,MATCH($B$5,$A$31:$A$33,0))</f>
        <v>1</v>
      </c>
    </row>
    <row r="58" customFormat="false" ht="15" hidden="false" customHeight="false" outlineLevel="0" collapsed="false">
      <c r="A58" s="11" t="s">
        <v>109</v>
      </c>
      <c r="B58" s="11" t="n">
        <f aca="false">INDEX(K$31:K$33,MATCH($B$5,$A$31:$A$33,0))</f>
        <v>1</v>
      </c>
    </row>
    <row r="59" customFormat="false" ht="15" hidden="false" customHeight="false" outlineLevel="0" collapsed="false">
      <c r="A59" s="11" t="s">
        <v>79</v>
      </c>
      <c r="B59" s="22" t="n">
        <f aca="false">INDEX(L$31:L$33,MATCH($B$5,$A$31:$A$33,0))</f>
        <v>0.006</v>
      </c>
    </row>
    <row r="61" customFormat="false" ht="15" hidden="false" customHeight="false" outlineLevel="0" collapsed="false">
      <c r="A61" s="12" t="s">
        <v>110</v>
      </c>
      <c r="B61" s="13"/>
      <c r="C61" s="13"/>
    </row>
    <row r="62" customFormat="false" ht="15" hidden="false" customHeight="false" outlineLevel="0" collapsed="false">
      <c r="A62" s="11" t="s">
        <v>111</v>
      </c>
      <c r="B62" s="16" t="n">
        <v>5000</v>
      </c>
      <c r="C62" s="15" t="s">
        <v>112</v>
      </c>
    </row>
    <row r="63" customFormat="false" ht="15" hidden="false" customHeight="false" outlineLevel="0" collapsed="false">
      <c r="A63" s="11" t="s">
        <v>113</v>
      </c>
      <c r="B63" s="14" t="s">
        <v>38</v>
      </c>
      <c r="C63" s="15" t="s">
        <v>114</v>
      </c>
    </row>
    <row r="64" customFormat="false" ht="15" hidden="false" customHeight="false" outlineLevel="0" collapsed="false">
      <c r="A64" s="11" t="s">
        <v>115</v>
      </c>
      <c r="B64" s="18" t="n">
        <v>0.05</v>
      </c>
      <c r="C64" s="15" t="s">
        <v>116</v>
      </c>
    </row>
    <row r="65" customFormat="false" ht="15" hidden="false" customHeight="false" outlineLevel="0" collapsed="false">
      <c r="A65" s="11" t="s">
        <v>117</v>
      </c>
      <c r="B65" s="18" t="n">
        <v>0.25</v>
      </c>
      <c r="C65" s="15" t="s">
        <v>118</v>
      </c>
    </row>
    <row r="66" customFormat="false" ht="15" hidden="false" customHeight="false" outlineLevel="0" collapsed="false">
      <c r="A66" s="11" t="s">
        <v>119</v>
      </c>
      <c r="B66" s="14" t="s">
        <v>120</v>
      </c>
      <c r="C66" s="15" t="s">
        <v>121</v>
      </c>
    </row>
    <row r="67" customFormat="false" ht="15" hidden="false" customHeight="false" outlineLevel="0" collapsed="false">
      <c r="A67" s="11" t="s">
        <v>122</v>
      </c>
      <c r="B67" s="14" t="s">
        <v>123</v>
      </c>
      <c r="C67" s="15" t="s">
        <v>124</v>
      </c>
    </row>
    <row r="68" customFormat="false" ht="15" hidden="false" customHeight="false" outlineLevel="0" collapsed="false">
      <c r="A68" s="11" t="s">
        <v>125</v>
      </c>
      <c r="B68" s="18" t="n">
        <v>0.03</v>
      </c>
      <c r="C68" s="15" t="s">
        <v>126</v>
      </c>
    </row>
    <row r="69" customFormat="false" ht="15" hidden="false" customHeight="false" outlineLevel="0" collapsed="false">
      <c r="A69" s="11" t="s">
        <v>127</v>
      </c>
      <c r="B69" s="18" t="n">
        <v>0.05</v>
      </c>
      <c r="C69" s="15" t="s">
        <v>128</v>
      </c>
    </row>
    <row r="70" customFormat="false" ht="15" hidden="false" customHeight="false" outlineLevel="0" collapsed="false">
      <c r="A70" s="11" t="s">
        <v>129</v>
      </c>
      <c r="B70" s="18" t="n">
        <v>0.5</v>
      </c>
      <c r="C70" s="15" t="s">
        <v>130</v>
      </c>
    </row>
  </sheetData>
  <dataValidations count="5">
    <dataValidation allowBlank="false" errorStyle="stop" operator="between" showDropDown="false" showErrorMessage="false" showInputMessage="false" sqref="B5" type="list">
      <formula1>"Careless,Average,Skilled"</formula1>
      <formula2>0</formula2>
    </dataValidation>
    <dataValidation allowBlank="false" errorStyle="stop" operator="between" showDropDown="false" showErrorMessage="false" showInputMessage="false" sqref="B13 B20 B23 B63" type="list">
      <formula1>"Yes,No"</formula1>
      <formula2>0</formula2>
    </dataValidation>
    <dataValidation allowBlank="false" errorStyle="stop" operator="between" showDropDown="false" showErrorMessage="false" showInputMessage="false" sqref="B17" type="list">
      <formula1>"Planned spend,Cash budget"</formula1>
      <formula2>0</formula2>
    </dataValidation>
    <dataValidation allowBlank="false" errorStyle="stop" operator="between" showDropDown="false" showErrorMessage="false" showInputMessage="false" sqref="B66" type="list">
      <formula1>"Ignore,Turn down"</formula1>
      <formula2>0</formula2>
    </dataValidation>
    <dataValidation allowBlank="false" errorStyle="stop" operator="between" showDropDown="false" showErrorMessage="false" showInputMessage="false" sqref="B67" type="list">
      <formula1>"Expected,Fined,Not fined"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0"/>
    <col collapsed="false" customWidth="true" hidden="false" outlineLevel="0" max="55" min="3" style="0" width="15"/>
  </cols>
  <sheetData>
    <row r="1" customFormat="false" ht="17.35" hidden="false" customHeight="false" outlineLevel="0" collapsed="false">
      <c r="A1" s="1" t="s">
        <v>131</v>
      </c>
    </row>
    <row r="2" customFormat="false" ht="15" hidden="false" customHeight="false" outlineLevel="0" collapsed="false">
      <c r="A2" s="11" t="s">
        <v>132</v>
      </c>
    </row>
    <row r="3" customFormat="false" ht="15" hidden="false" customHeight="false" outlineLevel="0" collapsed="false">
      <c r="A3" s="12" t="s">
        <v>3</v>
      </c>
      <c r="B3" s="12"/>
      <c r="C3" s="12"/>
      <c r="D3" s="12"/>
      <c r="E3" s="12"/>
      <c r="F3" s="12"/>
      <c r="G3" s="12"/>
      <c r="H3" s="23" t="s">
        <v>133</v>
      </c>
      <c r="I3" s="23"/>
      <c r="J3" s="23"/>
      <c r="K3" s="24" t="s">
        <v>134</v>
      </c>
      <c r="L3" s="24"/>
      <c r="M3" s="24"/>
      <c r="N3" s="24"/>
      <c r="O3" s="24"/>
      <c r="P3" s="24"/>
      <c r="Q3" s="24"/>
      <c r="R3" s="24"/>
      <c r="S3" s="24"/>
      <c r="T3" s="24"/>
      <c r="U3" s="24"/>
      <c r="V3" s="25" t="s">
        <v>135</v>
      </c>
      <c r="W3" s="25"/>
      <c r="X3" s="25"/>
      <c r="Y3" s="25"/>
      <c r="Z3" s="25"/>
      <c r="AA3" s="25"/>
      <c r="AB3" s="25"/>
      <c r="AC3" s="25"/>
      <c r="AD3" s="23" t="s">
        <v>136</v>
      </c>
      <c r="AE3" s="23"/>
      <c r="AF3" s="23"/>
      <c r="AG3" s="23"/>
      <c r="AH3" s="23"/>
      <c r="AI3" s="23"/>
      <c r="AJ3" s="23"/>
      <c r="AK3" s="23"/>
      <c r="AL3" s="23"/>
      <c r="AM3" s="26" t="s">
        <v>11</v>
      </c>
      <c r="AN3" s="26"/>
      <c r="AO3" s="27" t="s">
        <v>137</v>
      </c>
      <c r="AP3" s="27"/>
      <c r="AQ3" s="27"/>
      <c r="AR3" s="27"/>
      <c r="AS3" s="27"/>
      <c r="AT3" s="26"/>
      <c r="AU3" s="26"/>
      <c r="AV3" s="26"/>
      <c r="AW3" s="26"/>
      <c r="AX3" s="26"/>
      <c r="AY3" s="26"/>
      <c r="AZ3" s="26"/>
      <c r="BA3" s="26"/>
      <c r="BB3" s="26"/>
      <c r="BC3" s="26"/>
    </row>
    <row r="4" customFormat="false" ht="61.5" hidden="false" customHeight="true" outlineLevel="0" collapsed="false">
      <c r="A4" s="3" t="s">
        <v>2</v>
      </c>
      <c r="B4" s="3" t="s">
        <v>3</v>
      </c>
      <c r="C4" s="3" t="s">
        <v>83</v>
      </c>
      <c r="D4" s="3" t="s">
        <v>84</v>
      </c>
      <c r="E4" s="3" t="s">
        <v>85</v>
      </c>
      <c r="F4" s="3" t="s">
        <v>138</v>
      </c>
      <c r="G4" s="3" t="s">
        <v>139</v>
      </c>
      <c r="H4" s="3" t="s">
        <v>140</v>
      </c>
      <c r="I4" s="3" t="s">
        <v>12</v>
      </c>
      <c r="J4" s="3" t="s">
        <v>141</v>
      </c>
      <c r="K4" s="3" t="s">
        <v>142</v>
      </c>
      <c r="L4" s="3" t="s">
        <v>143</v>
      </c>
      <c r="M4" s="3" t="s">
        <v>144</v>
      </c>
      <c r="N4" s="3" t="s">
        <v>145</v>
      </c>
      <c r="O4" s="3" t="s">
        <v>146</v>
      </c>
      <c r="P4" s="3" t="s">
        <v>147</v>
      </c>
      <c r="Q4" s="3" t="s">
        <v>148</v>
      </c>
      <c r="R4" s="3" t="s">
        <v>149</v>
      </c>
      <c r="S4" s="3" t="s">
        <v>150</v>
      </c>
      <c r="T4" s="3" t="s">
        <v>151</v>
      </c>
      <c r="U4" s="3" t="s">
        <v>152</v>
      </c>
      <c r="V4" s="3" t="s">
        <v>153</v>
      </c>
      <c r="W4" s="3" t="s">
        <v>154</v>
      </c>
      <c r="X4" s="3" t="s">
        <v>155</v>
      </c>
      <c r="Y4" s="3" t="s">
        <v>156</v>
      </c>
      <c r="Z4" s="3" t="s">
        <v>157</v>
      </c>
      <c r="AA4" s="3" t="s">
        <v>158</v>
      </c>
      <c r="AB4" s="3" t="s">
        <v>159</v>
      </c>
      <c r="AC4" s="3" t="s">
        <v>160</v>
      </c>
      <c r="AD4" s="3" t="s">
        <v>161</v>
      </c>
      <c r="AE4" s="3" t="s">
        <v>162</v>
      </c>
      <c r="AF4" s="3" t="s">
        <v>163</v>
      </c>
      <c r="AG4" s="3" t="s">
        <v>164</v>
      </c>
      <c r="AH4" s="3" t="s">
        <v>165</v>
      </c>
      <c r="AI4" s="3" t="s">
        <v>166</v>
      </c>
      <c r="AJ4" s="3" t="s">
        <v>167</v>
      </c>
      <c r="AK4" s="3" t="s">
        <v>168</v>
      </c>
      <c r="AL4" s="3" t="s">
        <v>169</v>
      </c>
      <c r="AM4" s="3" t="s">
        <v>6</v>
      </c>
      <c r="AN4" s="3" t="s">
        <v>170</v>
      </c>
      <c r="AO4" s="3" t="s">
        <v>171</v>
      </c>
      <c r="AP4" s="3" t="s">
        <v>172</v>
      </c>
      <c r="AQ4" s="3" t="s">
        <v>173</v>
      </c>
      <c r="AR4" s="3" t="s">
        <v>8</v>
      </c>
      <c r="AS4" s="3" t="s">
        <v>9</v>
      </c>
      <c r="AT4" s="3" t="s">
        <v>174</v>
      </c>
      <c r="AU4" s="3" t="s">
        <v>175</v>
      </c>
      <c r="AV4" s="3" t="s">
        <v>176</v>
      </c>
      <c r="AW4" s="3" t="s">
        <v>10</v>
      </c>
      <c r="AX4" s="3" t="s">
        <v>11</v>
      </c>
      <c r="AY4" s="3" t="s">
        <v>177</v>
      </c>
      <c r="AZ4" s="3" t="s">
        <v>13</v>
      </c>
      <c r="BA4" s="3" t="s">
        <v>178</v>
      </c>
      <c r="BB4" s="3" t="s">
        <v>179</v>
      </c>
      <c r="BC4" s="3" t="s">
        <v>180</v>
      </c>
    </row>
    <row r="5" customFormat="false" ht="15" hidden="false" customHeight="false" outlineLevel="0" collapsed="false">
      <c r="A5" s="4" t="n">
        <f aca="false">Inputs!A37</f>
        <v>1</v>
      </c>
      <c r="B5" s="5" t="str">
        <f aca="false">Inputs!B37</f>
        <v>Village Green</v>
      </c>
      <c r="C5" s="28" t="n">
        <f aca="false">Inputs!C37</f>
        <v>500</v>
      </c>
      <c r="D5" s="4" t="n">
        <f aca="false">Inputs!D37</f>
        <v>1</v>
      </c>
      <c r="E5" s="6" t="n">
        <f aca="false">Inputs!E37</f>
        <v>25</v>
      </c>
      <c r="F5" s="29" t="n">
        <f aca="false">E5*(1+Inputs!$B$7*(D5-1))</f>
        <v>25</v>
      </c>
      <c r="G5" s="6" t="n">
        <f aca="false">C5*F5</f>
        <v>12500</v>
      </c>
      <c r="H5" s="6" t="n">
        <f aca="false">Inputs!$B$6</f>
        <v>20000</v>
      </c>
      <c r="I5" s="6" t="n">
        <f aca="false">IF(Inputs!$B$13="Yes",MAX(0,Inputs!$B$14*G5-H5),0)</f>
        <v>0</v>
      </c>
      <c r="J5" s="6" t="n">
        <f aca="false">H5+I5</f>
        <v>20000</v>
      </c>
      <c r="K5" s="30" t="n">
        <f aca="false">Inputs!$B$49</f>
        <v>0.75</v>
      </c>
      <c r="L5" s="30" t="n">
        <f aca="false">Inputs!$B$50</f>
        <v>0.75</v>
      </c>
      <c r="M5" s="6" t="n">
        <f aca="false">Inputs!$B$10*G5*K5^1.5*Inputs!$B$53*(1-0.1*Inputs!$B$52)</f>
        <v>6625.09433895096</v>
      </c>
      <c r="N5" s="6" t="n">
        <f aca="false">Inputs!$B$11*G5*L5</f>
        <v>2812.5</v>
      </c>
      <c r="O5" s="6" t="n">
        <f aca="false">Inputs!$B$12*G5</f>
        <v>4625</v>
      </c>
      <c r="P5" s="30" t="n">
        <f aca="false">IF(M5+N5+O5&gt;J5,MAX(0.15,MIN(1,(J5-O5)/(M5+N5))),1)</f>
        <v>1</v>
      </c>
      <c r="Q5" s="30" t="n">
        <f aca="false">K5*P5^0.67</f>
        <v>0.75</v>
      </c>
      <c r="R5" s="30" t="n">
        <f aca="false">L5*P5</f>
        <v>0.75</v>
      </c>
      <c r="S5" s="6" t="n">
        <f aca="false">Inputs!$B$10*G5*Q5^1.5*Inputs!$B$53*(1-0.1*Inputs!$B$52)</f>
        <v>6625.09433895096</v>
      </c>
      <c r="T5" s="6" t="n">
        <f aca="false">Inputs!$B$11*G5*R5</f>
        <v>2812.5</v>
      </c>
      <c r="U5" s="6" t="n">
        <f aca="false">S5+T5+O5</f>
        <v>14062.594338951</v>
      </c>
      <c r="V5" s="30" t="n">
        <f aca="false">Inputs!$B$21</f>
        <v>0.5</v>
      </c>
      <c r="W5" s="30" t="n">
        <f aca="false">MAX(0.3,1-1.1*(Inputs!$B$51/(0.6+0.6*Q5)-1))</f>
        <v>1.05238095238095</v>
      </c>
      <c r="X5" s="30" t="n">
        <f aca="false">(0.2+0.8*Q5)*(0.75+0.5*V5)*W5</f>
        <v>0.841904761904762</v>
      </c>
      <c r="Y5" s="31" t="n">
        <f aca="false">MAX(0,MIN(1,X5))</f>
        <v>0.841904761904762</v>
      </c>
      <c r="Z5" s="30" t="n">
        <f aca="false">R5*1.25</f>
        <v>0.9375</v>
      </c>
      <c r="AA5" s="30" t="n">
        <f aca="false">IF(Inputs!$B$55=0,0,IF(Inputs!$B$55=1,IF(Y5&lt;0.8,0.5,0),IF(AND(Y5&lt;0.85,Z5/(Y5+0.5*(1-Y5))&gt;=0.95),1,0)))</f>
        <v>0</v>
      </c>
      <c r="AB5" s="30" t="n">
        <f aca="false">0.5*(1-Y5)</f>
        <v>0.0790476190476191</v>
      </c>
      <c r="AC5" s="31" t="n">
        <f aca="false">Y5+AA5*AB5</f>
        <v>0.841904761904762</v>
      </c>
      <c r="AD5" s="6" t="n">
        <f aca="false">Y5*C5*F5*Inputs!$B$51</f>
        <v>10523.8095238095</v>
      </c>
      <c r="AE5" s="6" t="n">
        <f aca="false">Y5*C5*Inputs!$B$8*F5*MIN(1,Z5/MAX(Y5,0.0001))^0.5+AA5*AB5*C5*Inputs!$B$8*F5*MIN(1,Z5/MAX(AC5,0.0001))^0.5</f>
        <v>4735.71428571429</v>
      </c>
      <c r="AF5" s="6" t="n">
        <f aca="false">AA5*(AB5*C5*F5*Inputs!$B$51*0.6-0.1*Y5*C5*F5*Inputs!$B$51*0.4)</f>
        <v>0</v>
      </c>
      <c r="AG5" s="6" t="n">
        <f aca="false">Inputs!$B$56*0.175*Y5*C5*(Inputs!$B$9*F5)*0.5*0.7</f>
        <v>0</v>
      </c>
      <c r="AH5" s="6" t="n">
        <f aca="false">(AD5+AE5+AF5+AG5)*Inputs!$B$19*MIN(Inputs!$B$58,Inputs!$B$18)</f>
        <v>0</v>
      </c>
      <c r="AI5" s="4" t="n">
        <f aca="false">IF(Inputs!$B$57=0,3,IF(Inputs!$B$57=1,IF(MAX(0,MIN(1,X5))&gt;=Inputs!$C$26,2,1),IF(MAX(0,MIN(1,X5))-0.07&gt;=Inputs!$C$27,3,IF(MAX(0,MIN(1,X5))-0.07&gt;=Inputs!$C$26,2,1))))</f>
        <v>2</v>
      </c>
      <c r="AJ5" s="31" t="n">
        <f aca="false">INDEX(Inputs!$C$25:$C$27,AI5)</f>
        <v>0.65</v>
      </c>
      <c r="AK5" s="6" t="n">
        <f aca="false">IF(Inputs!$B$23="No",0,IF(IF(Inputs!$B$20="Yes",AC5,Y5)&gt;=AJ5,INDEX(Inputs!$B$25:$B$27,AI5)*G5,0))</f>
        <v>0</v>
      </c>
      <c r="AL5" s="6" t="n">
        <f aca="false">AD5+AE5+AF5+AG5+AH5+AK5</f>
        <v>15259.5238095238</v>
      </c>
      <c r="AM5" s="7" t="n">
        <f aca="false">AL5-U5-BB5-BC5</f>
        <v>528.179470572854</v>
      </c>
      <c r="AN5" s="8" t="n">
        <f aca="false">AM5/IF(Inputs!$B$17="Planned spend",U5,J5)</f>
        <v>0.0375591770509861</v>
      </c>
      <c r="AO5" s="30" t="n">
        <f aca="false">MIN(1,Z5/MAX(AC5,0.01))</f>
        <v>1</v>
      </c>
      <c r="AP5" s="30" t="n">
        <f aca="false">MAX(0,MIN(1,1-2*MAX(0,Inputs!$B$51/(0.6+0.6*Q5)-1)))</f>
        <v>1</v>
      </c>
      <c r="AQ5" s="22" t="n">
        <f aca="false">0.09*(1-0.7*Inputs!$B$54)</f>
        <v>0.0585</v>
      </c>
      <c r="AR5" s="9" t="n">
        <f aca="false">MAX(0,MIN(1,0.35*AO5+0.3*Q5+0.08*AP5+0.15*V5-AQ5+Inputs!$B$59*(A5-1)-IF(Inputs!$B$66="Turn down",Inputs!$B$68*IF(Inputs!$B$67="Expected",IF(A5=1,1,Inputs!$B$70),1),0)+SUMPRODUCT(('Scripted events'!$B$5:$B$60=A5)*'Scripted events'!$K$5:$K$60*'Scripted events'!$F$5:$F$60)))</f>
        <v>0.6715</v>
      </c>
      <c r="AS5" s="9" t="n">
        <f aca="false">MAX(0,MIN(1,0.25+0.4*MAX(0,MIN(1,(Inputs!$B$53-0.8)/0.4))+0.2*MAX(0,MIN(1,R5/0.8))+0.1*AC5+Inputs!$B$59*(A5-1)-IF(Inputs!$B$66="Turn down",Inputs!$B$69*IF(Inputs!$B$67="Expected",IF(A5=1,1,Inputs!$B$70),1),0)+SUMPRODUCT(('Scripted events'!$B$5:$B$60=A5)*'Scripted events'!$K$5:$K$60*'Scripted events'!$G$5:$G$60)))</f>
        <v>0.721690476190476</v>
      </c>
      <c r="AT5" s="4" t="n">
        <f aca="false">IF(AN5&gt;=Inputs!H37,1,0)</f>
        <v>0</v>
      </c>
      <c r="AU5" s="4" t="n">
        <f aca="false">IF(AR5&gt;=Inputs!F37,1,0)</f>
        <v>1</v>
      </c>
      <c r="AV5" s="4" t="n">
        <f aca="false">IF(AS5&gt;=Inputs!G37,1,0)</f>
        <v>1</v>
      </c>
      <c r="AW5" s="4" t="n">
        <f aca="false">AT5+AU5+AV5</f>
        <v>2</v>
      </c>
      <c r="AX5" s="5" t="str">
        <f aca="false">IF(AW5&gt;=2,"Pass","Replay")</f>
        <v>Pass</v>
      </c>
      <c r="AY5" s="6" t="n">
        <f aca="false">IF(AW5=3,Inputs!$B$16,Inputs!$B$15)*I5</f>
        <v>0</v>
      </c>
      <c r="AZ5" s="6" t="n">
        <f aca="false">MAX(0,J5+AM5-I5-AY5)</f>
        <v>20528.1794705729</v>
      </c>
      <c r="BA5" s="30" t="n">
        <f aca="false">Inputs!$B$22*V5+(1-Inputs!$B$22)*(AR5+AS5)/2+SUMPRODUCT(('Scripted events'!$B$5:$B$60=A5)*'Scripted events'!$K$5:$K$60*'Scripted events'!$H$5:$H$60)</f>
        <v>0.558978571428571</v>
      </c>
      <c r="BB5" s="6" t="n">
        <f aca="false">IF(Inputs!$B$66="Ignore",IF(Inputs!$B$67="Fined",1,IF(Inputs!$B$67="Not fined",0,Inputs!$B$65*IF(A5=1,1,Inputs!$B$70)))*IF(Inputs!$B$63="Yes",Inputs!$B$64*G5,Inputs!$B$62),0)</f>
        <v>156.25</v>
      </c>
      <c r="BC5" s="6" t="n">
        <f aca="false">SUMPRODUCT(('Scripted events'!$B$5:$B$60=A5)*'Scripted events'!$K$5:$K$60*'Scripted events'!$E$5:$E$60)*G5</f>
        <v>512.5</v>
      </c>
    </row>
    <row r="6" customFormat="false" ht="15" hidden="false" customHeight="false" outlineLevel="0" collapsed="false">
      <c r="A6" s="4" t="n">
        <f aca="false">Inputs!A38</f>
        <v>2</v>
      </c>
      <c r="B6" s="5" t="str">
        <f aca="false">Inputs!B38</f>
        <v>The Local Field</v>
      </c>
      <c r="C6" s="28" t="n">
        <f aca="false">Inputs!C38</f>
        <v>1500</v>
      </c>
      <c r="D6" s="4" t="n">
        <f aca="false">Inputs!D38</f>
        <v>1</v>
      </c>
      <c r="E6" s="6" t="n">
        <f aca="false">Inputs!E38</f>
        <v>30</v>
      </c>
      <c r="F6" s="29" t="n">
        <f aca="false">E6*(1+Inputs!$B$7*(D6-1))</f>
        <v>30</v>
      </c>
      <c r="G6" s="6" t="n">
        <f aca="false">C6*F6</f>
        <v>45000</v>
      </c>
      <c r="H6" s="6" t="n">
        <f aca="false">AZ5</f>
        <v>20528.1794705729</v>
      </c>
      <c r="I6" s="6" t="n">
        <f aca="false">IF(Inputs!$B$13="Yes",MAX(0,Inputs!$B$14*G6-H6),0)</f>
        <v>28971.8205294272</v>
      </c>
      <c r="J6" s="6" t="n">
        <f aca="false">H6+I6</f>
        <v>49500</v>
      </c>
      <c r="K6" s="30" t="n">
        <f aca="false">Inputs!$B$49</f>
        <v>0.75</v>
      </c>
      <c r="L6" s="30" t="n">
        <f aca="false">Inputs!$B$50</f>
        <v>0.75</v>
      </c>
      <c r="M6" s="6" t="n">
        <f aca="false">Inputs!$B$10*G6*K6^1.5*Inputs!$B$53*(1-0.1*Inputs!$B$52)</f>
        <v>23850.3396202234</v>
      </c>
      <c r="N6" s="6" t="n">
        <f aca="false">Inputs!$B$11*G6*L6</f>
        <v>10125</v>
      </c>
      <c r="O6" s="6" t="n">
        <f aca="false">Inputs!$B$12*G6</f>
        <v>16650</v>
      </c>
      <c r="P6" s="30" t="n">
        <f aca="false">IF(M6+N6+O6&gt;J6,MAX(0.15,MIN(1,(J6-O6)/(M6+N6))),1)</f>
        <v>0.966877752134269</v>
      </c>
      <c r="Q6" s="30" t="n">
        <f aca="false">K6*P6^0.67</f>
        <v>0.733263746472264</v>
      </c>
      <c r="R6" s="30" t="n">
        <f aca="false">L6*P6</f>
        <v>0.725158314100702</v>
      </c>
      <c r="S6" s="6" t="n">
        <f aca="false">Inputs!$B$10*G6*Q6^1.5*Inputs!$B$53*(1-0.1*Inputs!$B$52)</f>
        <v>23056.4793513137</v>
      </c>
      <c r="T6" s="6" t="n">
        <f aca="false">Inputs!$B$11*G6*R6</f>
        <v>9789.63724035947</v>
      </c>
      <c r="U6" s="6" t="n">
        <f aca="false">S6+T6+O6</f>
        <v>49496.1165916732</v>
      </c>
      <c r="V6" s="30" t="n">
        <f aca="false">BA5</f>
        <v>0.558978571428571</v>
      </c>
      <c r="W6" s="30" t="n">
        <f aca="false">MAX(0.3,1-1.1*(Inputs!$B$51/(0.6+0.6*Q6)-1))</f>
        <v>1.04226522820618</v>
      </c>
      <c r="X6" s="30" t="n">
        <f aca="false">(0.2+0.8*Q6)*(0.75+0.5*V6)*W6</f>
        <v>0.84403429636702</v>
      </c>
      <c r="Y6" s="31" t="n">
        <f aca="false">MAX(0,MIN(1,X6))</f>
        <v>0.84403429636702</v>
      </c>
      <c r="Z6" s="30" t="n">
        <f aca="false">R6*1.25</f>
        <v>0.906447892625877</v>
      </c>
      <c r="AA6" s="30" t="n">
        <f aca="false">IF(Inputs!$B$55=0,0,IF(Inputs!$B$55=1,IF(Y6&lt;0.8,0.5,0),IF(AND(Y6&lt;0.85,Z6/(Y6+0.5*(1-Y6))&gt;=0.95),1,0)))</f>
        <v>0</v>
      </c>
      <c r="AB6" s="30" t="n">
        <f aca="false">0.5*(1-Y6)</f>
        <v>0.07798285181649</v>
      </c>
      <c r="AC6" s="31" t="n">
        <f aca="false">Y6+AA6*AB6</f>
        <v>0.84403429636702</v>
      </c>
      <c r="AD6" s="6" t="n">
        <f aca="false">Y6*C6*F6*Inputs!$B$51</f>
        <v>37981.5433365159</v>
      </c>
      <c r="AE6" s="6" t="n">
        <f aca="false">Y6*C6*Inputs!$B$8*F6*MIN(1,Z6/MAX(Y6,0.0001))^0.5+AA6*AB6*C6*Inputs!$B$8*F6*MIN(1,Z6/MAX(AC6,0.0001))^0.5</f>
        <v>17091.6945014322</v>
      </c>
      <c r="AF6" s="6" t="n">
        <f aca="false">AA6*(AB6*C6*F6*Inputs!$B$51*0.6-0.1*Y6*C6*F6*Inputs!$B$51*0.4)</f>
        <v>0</v>
      </c>
      <c r="AG6" s="6" t="n">
        <f aca="false">Inputs!$B$56*0.175*Y6*C6*(Inputs!$B$9*F6)*0.5*0.7</f>
        <v>0</v>
      </c>
      <c r="AH6" s="6" t="n">
        <f aca="false">(AD6+AE6+AF6+AG6)*Inputs!$B$19*MIN(Inputs!$B$58,Inputs!$B$18)</f>
        <v>0</v>
      </c>
      <c r="AI6" s="4" t="n">
        <f aca="false">IF(Inputs!$B$57=0,3,IF(Inputs!$B$57=1,IF(MAX(0,MIN(1,X6))&gt;=Inputs!$C$26,2,1),IF(MAX(0,MIN(1,X6))-0.07&gt;=Inputs!$C$27,3,IF(MAX(0,MIN(1,X6))-0.07&gt;=Inputs!$C$26,2,1))))</f>
        <v>2</v>
      </c>
      <c r="AJ6" s="31" t="n">
        <f aca="false">INDEX(Inputs!$C$25:$C$27,AI6)</f>
        <v>0.65</v>
      </c>
      <c r="AK6" s="6" t="n">
        <f aca="false">IF(Inputs!$B$23="No",0,IF(IF(Inputs!$B$20="Yes",AC6,Y6)&gt;=AJ6,INDEX(Inputs!$B$25:$B$27,AI6)*G6,0))</f>
        <v>0</v>
      </c>
      <c r="AL6" s="6" t="n">
        <f aca="false">AD6+AE6+AF6+AG6+AH6+AK6</f>
        <v>55073.2378379481</v>
      </c>
      <c r="AM6" s="7" t="n">
        <f aca="false">AL6-U6-BB6-BC6</f>
        <v>3720.87124627487</v>
      </c>
      <c r="AN6" s="8" t="n">
        <f aca="false">AM6/IF(Inputs!$B$17="Planned spend",U6,J6)</f>
        <v>0.075175013768673</v>
      </c>
      <c r="AO6" s="30" t="n">
        <f aca="false">MIN(1,Z6/MAX(AC6,0.01))</f>
        <v>1</v>
      </c>
      <c r="AP6" s="30" t="n">
        <f aca="false">MAX(0,MIN(1,1-2*MAX(0,Inputs!$B$51/(0.6+0.6*Q6)-1)))</f>
        <v>1</v>
      </c>
      <c r="AQ6" s="22" t="n">
        <f aca="false">0.09*(1-0.7*Inputs!$B$54)</f>
        <v>0.0585</v>
      </c>
      <c r="AR6" s="9" t="n">
        <f aca="false">MAX(0,MIN(1,0.35*AO6+0.3*Q6+0.08*AP6+0.15*V6-AQ6+Inputs!$B$59*(A6-1)-IF(Inputs!$B$66="Turn down",Inputs!$B$68*IF(Inputs!$B$67="Expected",IF(A6=1,1,Inputs!$B$70),1),0)+SUMPRODUCT(('Scripted events'!$B$5:$B$60=A6)*'Scripted events'!$K$5:$K$60*'Scripted events'!$F$5:$F$60)))</f>
        <v>0.676325909655965</v>
      </c>
      <c r="AS6" s="9" t="n">
        <f aca="false">MAX(0,MIN(1,0.25+0.4*MAX(0,MIN(1,(Inputs!$B$53-0.8)/0.4))+0.2*MAX(0,MIN(1,R6/0.8))+0.1*AC6+Inputs!$B$59*(A6-1)-IF(Inputs!$B$66="Turn down",Inputs!$B$69*IF(Inputs!$B$67="Expected",IF(A6=1,1,Inputs!$B$70),1),0)+SUMPRODUCT(('Scripted events'!$B$5:$B$60=A6)*'Scripted events'!$K$5:$K$60*'Scripted events'!$G$5:$G$60)))</f>
        <v>0.721693008161877</v>
      </c>
      <c r="AT6" s="4" t="n">
        <f aca="false">IF(AN6&gt;=Inputs!H38,1,0)</f>
        <v>0</v>
      </c>
      <c r="AU6" s="4" t="n">
        <f aca="false">IF(AR6&gt;=Inputs!F38,1,0)</f>
        <v>1</v>
      </c>
      <c r="AV6" s="4" t="n">
        <f aca="false">IF(AS6&gt;=Inputs!G38,1,0)</f>
        <v>1</v>
      </c>
      <c r="AW6" s="4" t="n">
        <f aca="false">AT6+AU6+AV6</f>
        <v>2</v>
      </c>
      <c r="AX6" s="5" t="str">
        <f aca="false">IF(AW6&gt;=2,"Pass","Replay")</f>
        <v>Pass</v>
      </c>
      <c r="AY6" s="6" t="n">
        <f aca="false">IF(AW6=3,Inputs!$B$16,Inputs!$B$15)*I6</f>
        <v>3476.61846353126</v>
      </c>
      <c r="AZ6" s="6" t="n">
        <f aca="false">MAX(0,J6+AM6-I6-AY6)</f>
        <v>20772.4322533165</v>
      </c>
      <c r="BA6" s="30" t="n">
        <f aca="false">Inputs!$B$22*V6+(1-Inputs!$B$22)*(AR6+AS6)/2+SUMPRODUCT(('Scripted events'!$B$5:$B$60=A6)*'Scripted events'!$K$5:$K$60*'Scripted events'!$H$5:$H$60)</f>
        <v>0.600987837672676</v>
      </c>
      <c r="BB6" s="6" t="n">
        <f aca="false">IF(Inputs!$B$66="Ignore",IF(Inputs!$B$67="Fined",1,IF(Inputs!$B$67="Not fined",0,Inputs!$B$65*IF(A6=1,1,Inputs!$B$70)))*IF(Inputs!$B$63="Yes",Inputs!$B$64*G6,Inputs!$B$62),0)</f>
        <v>281.25</v>
      </c>
      <c r="BC6" s="6" t="n">
        <f aca="false">SUMPRODUCT(('Scripted events'!$B$5:$B$60=A6)*'Scripted events'!$K$5:$K$60*'Scripted events'!$E$5:$E$60)*G6</f>
        <v>1575</v>
      </c>
    </row>
    <row r="7" customFormat="false" ht="15" hidden="false" customHeight="false" outlineLevel="0" collapsed="false">
      <c r="A7" s="4" t="n">
        <f aca="false">Inputs!A39</f>
        <v>3</v>
      </c>
      <c r="B7" s="5" t="str">
        <f aca="false">Inputs!B39</f>
        <v>Two Stages</v>
      </c>
      <c r="C7" s="28" t="n">
        <f aca="false">Inputs!C39</f>
        <v>3000</v>
      </c>
      <c r="D7" s="4" t="n">
        <f aca="false">Inputs!D39</f>
        <v>1</v>
      </c>
      <c r="E7" s="6" t="n">
        <f aca="false">Inputs!E39</f>
        <v>40</v>
      </c>
      <c r="F7" s="29" t="n">
        <f aca="false">E7*(1+Inputs!$B$7*(D7-1))</f>
        <v>40</v>
      </c>
      <c r="G7" s="6" t="n">
        <f aca="false">C7*F7</f>
        <v>120000</v>
      </c>
      <c r="H7" s="6" t="n">
        <f aca="false">AZ6</f>
        <v>20772.4322533165</v>
      </c>
      <c r="I7" s="6" t="n">
        <f aca="false">IF(Inputs!$B$13="Yes",MAX(0,Inputs!$B$14*G7-H7),0)</f>
        <v>111227.567746684</v>
      </c>
      <c r="J7" s="6" t="n">
        <f aca="false">H7+I7</f>
        <v>132000</v>
      </c>
      <c r="K7" s="30" t="n">
        <f aca="false">Inputs!$B$49</f>
        <v>0.75</v>
      </c>
      <c r="L7" s="30" t="n">
        <f aca="false">Inputs!$B$50</f>
        <v>0.75</v>
      </c>
      <c r="M7" s="6" t="n">
        <f aca="false">Inputs!$B$10*G7*K7^1.5*Inputs!$B$53*(1-0.1*Inputs!$B$52)</f>
        <v>63600.9056539292</v>
      </c>
      <c r="N7" s="6" t="n">
        <f aca="false">Inputs!$B$11*G7*L7</f>
        <v>27000</v>
      </c>
      <c r="O7" s="6" t="n">
        <f aca="false">Inputs!$B$12*G7</f>
        <v>44400</v>
      </c>
      <c r="P7" s="30" t="n">
        <f aca="false">IF(M7+N7+O7&gt;J7,MAX(0.15,MIN(1,(J7-O7)/(M7+N7))),1)</f>
        <v>0.966877752134269</v>
      </c>
      <c r="Q7" s="30" t="n">
        <f aca="false">K7*P7^0.67</f>
        <v>0.733263746472264</v>
      </c>
      <c r="R7" s="30" t="n">
        <f aca="false">L7*P7</f>
        <v>0.725158314100702</v>
      </c>
      <c r="S7" s="6" t="n">
        <f aca="false">Inputs!$B$10*G7*Q7^1.5*Inputs!$B$53*(1-0.1*Inputs!$B$52)</f>
        <v>61483.9449368366</v>
      </c>
      <c r="T7" s="6" t="n">
        <f aca="false">Inputs!$B$11*G7*R7</f>
        <v>26105.6993076253</v>
      </c>
      <c r="U7" s="6" t="n">
        <f aca="false">S7+T7+O7</f>
        <v>131989.644244462</v>
      </c>
      <c r="V7" s="30" t="n">
        <f aca="false">BA6</f>
        <v>0.600987837672676</v>
      </c>
      <c r="W7" s="30" t="n">
        <f aca="false">MAX(0.3,1-1.1*(Inputs!$B$51/(0.6+0.6*Q7)-1))</f>
        <v>1.04226522820618</v>
      </c>
      <c r="X7" s="30" t="n">
        <f aca="false">(0.2+0.8*Q7)*(0.75+0.5*V7)*W7</f>
        <v>0.861255097966056</v>
      </c>
      <c r="Y7" s="31" t="n">
        <f aca="false">MAX(0,MIN(1,X7))</f>
        <v>0.861255097966056</v>
      </c>
      <c r="Z7" s="30" t="n">
        <f aca="false">R7*1.25</f>
        <v>0.906447892625877</v>
      </c>
      <c r="AA7" s="30" t="n">
        <f aca="false">IF(Inputs!$B$55=0,0,IF(Inputs!$B$55=1,IF(Y7&lt;0.8,0.5,0),IF(AND(Y7&lt;0.85,Z7/(Y7+0.5*(1-Y7))&gt;=0.95),1,0)))</f>
        <v>0</v>
      </c>
      <c r="AB7" s="30" t="n">
        <f aca="false">0.5*(1-Y7)</f>
        <v>0.0693724510169719</v>
      </c>
      <c r="AC7" s="31" t="n">
        <f aca="false">Y7+AA7*AB7</f>
        <v>0.861255097966056</v>
      </c>
      <c r="AD7" s="6" t="n">
        <f aca="false">Y7*C7*F7*Inputs!$B$51</f>
        <v>103350.611755927</v>
      </c>
      <c r="AE7" s="6" t="n">
        <f aca="false">Y7*C7*Inputs!$B$8*F7*MIN(1,Z7/MAX(Y7,0.0001))^0.5+AA7*AB7*C7*Inputs!$B$8*F7*MIN(1,Z7/MAX(AC7,0.0001))^0.5</f>
        <v>46507.775290167</v>
      </c>
      <c r="AF7" s="6" t="n">
        <f aca="false">AA7*(AB7*C7*F7*Inputs!$B$51*0.6-0.1*Y7*C7*F7*Inputs!$B$51*0.4)</f>
        <v>0</v>
      </c>
      <c r="AG7" s="6" t="n">
        <f aca="false">Inputs!$B$56*0.175*Y7*C7*(Inputs!$B$9*F7)*0.5*0.7</f>
        <v>0</v>
      </c>
      <c r="AH7" s="6" t="n">
        <f aca="false">(AD7+AE7+AF7+AG7)*Inputs!$B$19*MIN(Inputs!$B$58,Inputs!$B$18)</f>
        <v>0</v>
      </c>
      <c r="AI7" s="4" t="n">
        <f aca="false">IF(Inputs!$B$57=0,3,IF(Inputs!$B$57=1,IF(MAX(0,MIN(1,X7))&gt;=Inputs!$C$26,2,1),IF(MAX(0,MIN(1,X7))-0.07&gt;=Inputs!$C$27,3,IF(MAX(0,MIN(1,X7))-0.07&gt;=Inputs!$C$26,2,1))))</f>
        <v>2</v>
      </c>
      <c r="AJ7" s="31" t="n">
        <f aca="false">INDEX(Inputs!$C$25:$C$27,AI7)</f>
        <v>0.65</v>
      </c>
      <c r="AK7" s="6" t="n">
        <f aca="false">IF(Inputs!$B$23="No",0,IF(IF(Inputs!$B$20="Yes",AC7,Y7)&gt;=AJ7,INDEX(Inputs!$B$25:$B$27,AI7)*G7,0))</f>
        <v>0</v>
      </c>
      <c r="AL7" s="6" t="n">
        <f aca="false">AD7+AE7+AF7+AG7+AH7+AK7</f>
        <v>149858.387046094</v>
      </c>
      <c r="AM7" s="7" t="n">
        <f aca="false">AL7-U7-BB7-BC7</f>
        <v>12858.7428016319</v>
      </c>
      <c r="AN7" s="8" t="n">
        <f aca="false">AM7/IF(Inputs!$B$17="Planned spend",U7,J7)</f>
        <v>0.0974223612408251</v>
      </c>
      <c r="AO7" s="30" t="n">
        <f aca="false">MIN(1,Z7/MAX(AC7,0.01))</f>
        <v>1</v>
      </c>
      <c r="AP7" s="30" t="n">
        <f aca="false">MAX(0,MIN(1,1-2*MAX(0,Inputs!$B$51/(0.6+0.6*Q7)-1)))</f>
        <v>1</v>
      </c>
      <c r="AQ7" s="22" t="n">
        <f aca="false">0.09*(1-0.7*Inputs!$B$54)</f>
        <v>0.0585</v>
      </c>
      <c r="AR7" s="9" t="n">
        <f aca="false">MAX(0,MIN(1,0.35*AO7+0.3*Q7+0.08*AP7+0.15*V7-AQ7+Inputs!$B$59*(A7-1)-IF(Inputs!$B$66="Turn down",Inputs!$B$68*IF(Inputs!$B$67="Expected",IF(A7=1,1,Inputs!$B$70),1),0)+SUMPRODUCT(('Scripted events'!$B$5:$B$60=A7)*'Scripted events'!$K$5:$K$60*'Scripted events'!$F$5:$F$60)))</f>
        <v>0.693627299592581</v>
      </c>
      <c r="AS7" s="9" t="n">
        <f aca="false">MAX(0,MIN(1,0.25+0.4*MAX(0,MIN(1,(Inputs!$B$53-0.8)/0.4))+0.2*MAX(0,MIN(1,R7/0.8))+0.1*AC7+Inputs!$B$59*(A7-1)-IF(Inputs!$B$66="Turn down",Inputs!$B$69*IF(Inputs!$B$67="Expected",IF(A7=1,1,Inputs!$B$70),1),0)+SUMPRODUCT(('Scripted events'!$B$5:$B$60=A7)*'Scripted events'!$K$5:$K$60*'Scripted events'!$G$5:$G$60)))</f>
        <v>0.684415088321781</v>
      </c>
      <c r="AT7" s="4" t="n">
        <f aca="false">IF(AN7&gt;=Inputs!H39,1,0)</f>
        <v>0</v>
      </c>
      <c r="AU7" s="4" t="n">
        <f aca="false">IF(AR7&gt;=Inputs!F39,1,0)</f>
        <v>1</v>
      </c>
      <c r="AV7" s="4" t="n">
        <f aca="false">IF(AS7&gt;=Inputs!G39,1,0)</f>
        <v>1</v>
      </c>
      <c r="AW7" s="4" t="n">
        <f aca="false">AT7+AU7+AV7</f>
        <v>2</v>
      </c>
      <c r="AX7" s="5" t="str">
        <f aca="false">IF(AW7&gt;=2,"Pass","Replay")</f>
        <v>Pass</v>
      </c>
      <c r="AY7" s="6" t="n">
        <f aca="false">IF(AW7=3,Inputs!$B$16,Inputs!$B$15)*I7</f>
        <v>13347.308129602</v>
      </c>
      <c r="AZ7" s="6" t="n">
        <f aca="false">MAX(0,J7+AM7-I7-AY7)</f>
        <v>20283.8669253464</v>
      </c>
      <c r="BA7" s="30" t="n">
        <f aca="false">Inputs!$B$22*V7+(1-Inputs!$B$22)*(AR7+AS7)/2+SUMPRODUCT(('Scripted events'!$B$5:$B$60=A7)*'Scripted events'!$K$5:$K$60*'Scripted events'!$H$5:$H$60)</f>
        <v>0.627397844558028</v>
      </c>
      <c r="BB7" s="6" t="n">
        <f aca="false">IF(Inputs!$B$66="Ignore",IF(Inputs!$B$67="Fined",1,IF(Inputs!$B$67="Not fined",0,Inputs!$B$65*IF(A7=1,1,Inputs!$B$70)))*IF(Inputs!$B$63="Yes",Inputs!$B$64*G7,Inputs!$B$62),0)</f>
        <v>750</v>
      </c>
      <c r="BC7" s="6" t="n">
        <f aca="false">SUMPRODUCT(('Scripted events'!$B$5:$B$60=A7)*'Scripted events'!$K$5:$K$60*'Scripted events'!$E$5:$E$60)*G7</f>
        <v>4260</v>
      </c>
    </row>
    <row r="8" customFormat="false" ht="15" hidden="false" customHeight="false" outlineLevel="0" collapsed="false">
      <c r="A8" s="4" t="n">
        <f aca="false">Inputs!A40</f>
        <v>4</v>
      </c>
      <c r="B8" s="5" t="str">
        <f aca="false">Inputs!B40</f>
        <v>First Overnight</v>
      </c>
      <c r="C8" s="28" t="n">
        <f aca="false">Inputs!C40</f>
        <v>5000</v>
      </c>
      <c r="D8" s="4" t="n">
        <f aca="false">Inputs!D40</f>
        <v>2</v>
      </c>
      <c r="E8" s="6" t="n">
        <f aca="false">Inputs!E40</f>
        <v>55</v>
      </c>
      <c r="F8" s="29" t="n">
        <f aca="false">E8*(1+Inputs!$B$7*(D8-1))</f>
        <v>82.5</v>
      </c>
      <c r="G8" s="6" t="n">
        <f aca="false">C8*F8</f>
        <v>412500</v>
      </c>
      <c r="H8" s="6" t="n">
        <f aca="false">AZ7</f>
        <v>20283.8669253464</v>
      </c>
      <c r="I8" s="6" t="n">
        <f aca="false">IF(Inputs!$B$13="Yes",MAX(0,Inputs!$B$14*G8-H8),0)</f>
        <v>433466.133074654</v>
      </c>
      <c r="J8" s="6" t="n">
        <f aca="false">H8+I8</f>
        <v>453750</v>
      </c>
      <c r="K8" s="30" t="n">
        <f aca="false">Inputs!$B$49</f>
        <v>0.75</v>
      </c>
      <c r="L8" s="30" t="n">
        <f aca="false">Inputs!$B$50</f>
        <v>0.75</v>
      </c>
      <c r="M8" s="6" t="n">
        <f aca="false">Inputs!$B$10*G8*K8^1.5*Inputs!$B$53*(1-0.1*Inputs!$B$52)</f>
        <v>218628.113185382</v>
      </c>
      <c r="N8" s="6" t="n">
        <f aca="false">Inputs!$B$11*G8*L8</f>
        <v>92812.5</v>
      </c>
      <c r="O8" s="6" t="n">
        <f aca="false">Inputs!$B$12*G8</f>
        <v>152625</v>
      </c>
      <c r="P8" s="30" t="n">
        <f aca="false">IF(M8+N8+O8&gt;J8,MAX(0.15,MIN(1,(J8-O8)/(M8+N8))),1)</f>
        <v>0.966877752134269</v>
      </c>
      <c r="Q8" s="30" t="n">
        <f aca="false">K8*P8^0.67</f>
        <v>0.733263746472264</v>
      </c>
      <c r="R8" s="30" t="n">
        <f aca="false">L8*P8</f>
        <v>0.725158314100702</v>
      </c>
      <c r="S8" s="6" t="n">
        <f aca="false">Inputs!$B$10*G8*Q8^1.5*Inputs!$B$53*(1-0.1*Inputs!$B$52)</f>
        <v>211351.060720376</v>
      </c>
      <c r="T8" s="6" t="n">
        <f aca="false">Inputs!$B$11*G8*R8</f>
        <v>89738.3413699618</v>
      </c>
      <c r="U8" s="6" t="n">
        <f aca="false">S8+T8+O8</f>
        <v>453714.402090338</v>
      </c>
      <c r="V8" s="30" t="n">
        <f aca="false">BA7</f>
        <v>0.627397844558028</v>
      </c>
      <c r="W8" s="30" t="n">
        <f aca="false">MAX(0.3,1-1.1*(Inputs!$B$51/(0.6+0.6*Q8)-1))</f>
        <v>1.04226522820618</v>
      </c>
      <c r="X8" s="30" t="n">
        <f aca="false">(0.2+0.8*Q8)*(0.75+0.5*V8)*W8</f>
        <v>0.872081316309388</v>
      </c>
      <c r="Y8" s="31" t="n">
        <f aca="false">MAX(0,MIN(1,X8))</f>
        <v>0.872081316309388</v>
      </c>
      <c r="Z8" s="30" t="n">
        <f aca="false">R8*1.25</f>
        <v>0.906447892625877</v>
      </c>
      <c r="AA8" s="30" t="n">
        <f aca="false">IF(Inputs!$B$55=0,0,IF(Inputs!$B$55=1,IF(Y8&lt;0.8,0.5,0),IF(AND(Y8&lt;0.85,Z8/(Y8+0.5*(1-Y8))&gt;=0.95),1,0)))</f>
        <v>0</v>
      </c>
      <c r="AB8" s="30" t="n">
        <f aca="false">0.5*(1-Y8)</f>
        <v>0.0639593418453063</v>
      </c>
      <c r="AC8" s="31" t="n">
        <f aca="false">Y8+AA8*AB8</f>
        <v>0.872081316309388</v>
      </c>
      <c r="AD8" s="6" t="n">
        <f aca="false">Y8*C8*F8*Inputs!$B$51</f>
        <v>359733.542977622</v>
      </c>
      <c r="AE8" s="6" t="n">
        <f aca="false">Y8*C8*Inputs!$B$8*F8*MIN(1,Z8/MAX(Y8,0.0001))^0.5+AA8*AB8*C8*Inputs!$B$8*F8*MIN(1,Z8/MAX(AC8,0.0001))^0.5</f>
        <v>161880.09433993</v>
      </c>
      <c r="AF8" s="6" t="n">
        <f aca="false">AA8*(AB8*C8*F8*Inputs!$B$51*0.6-0.1*Y8*C8*F8*Inputs!$B$51*0.4)</f>
        <v>0</v>
      </c>
      <c r="AG8" s="6" t="n">
        <f aca="false">Inputs!$B$56*0.175*Y8*C8*(Inputs!$B$9*F8)*0.5*0.7</f>
        <v>0</v>
      </c>
      <c r="AH8" s="6" t="n">
        <f aca="false">(AD8+AE8+AF8+AG8)*Inputs!$B$19*MIN(Inputs!$B$58,Inputs!$B$18)</f>
        <v>0</v>
      </c>
      <c r="AI8" s="4" t="n">
        <f aca="false">IF(Inputs!$B$57=0,3,IF(Inputs!$B$57=1,IF(MAX(0,MIN(1,X8))&gt;=Inputs!$C$26,2,1),IF(MAX(0,MIN(1,X8))-0.07&gt;=Inputs!$C$27,3,IF(MAX(0,MIN(1,X8))-0.07&gt;=Inputs!$C$26,2,1))))</f>
        <v>2</v>
      </c>
      <c r="AJ8" s="31" t="n">
        <f aca="false">INDEX(Inputs!$C$25:$C$27,AI8)</f>
        <v>0.65</v>
      </c>
      <c r="AK8" s="6" t="n">
        <f aca="false">IF(Inputs!$B$23="No",0,IF(IF(Inputs!$B$20="Yes",AC8,Y8)&gt;=AJ8,INDEX(Inputs!$B$25:$B$27,AI8)*G8,0))</f>
        <v>0</v>
      </c>
      <c r="AL8" s="6" t="n">
        <f aca="false">AD8+AE8+AF8+AG8+AH8+AK8</f>
        <v>521613.637317552</v>
      </c>
      <c r="AM8" s="7" t="n">
        <f aca="false">AL8-U8-BB8-BC8</f>
        <v>65321.1102272149</v>
      </c>
      <c r="AN8" s="8" t="n">
        <f aca="false">AM8/IF(Inputs!$B$17="Planned spend",U8,J8)</f>
        <v>0.143969664454709</v>
      </c>
      <c r="AO8" s="30" t="n">
        <f aca="false">MIN(1,Z8/MAX(AC8,0.01))</f>
        <v>1</v>
      </c>
      <c r="AP8" s="30" t="n">
        <f aca="false">MAX(0,MIN(1,1-2*MAX(0,Inputs!$B$51/(0.6+0.6*Q8)-1)))</f>
        <v>1</v>
      </c>
      <c r="AQ8" s="22" t="n">
        <f aca="false">0.09*(1-0.7*Inputs!$B$54)</f>
        <v>0.0585</v>
      </c>
      <c r="AR8" s="9" t="n">
        <f aca="false">MAX(0,MIN(1,0.35*AO8+0.3*Q8+0.08*AP8+0.15*V8-AQ8+Inputs!$B$59*(A8-1)-IF(Inputs!$B$66="Turn down",Inputs!$B$68*IF(Inputs!$B$67="Expected",IF(A8=1,1,Inputs!$B$70),1),0)+SUMPRODUCT(('Scripted events'!$B$5:$B$60=A8)*'Scripted events'!$K$5:$K$60*'Scripted events'!$F$5:$F$60)))</f>
        <v>0.703588800625383</v>
      </c>
      <c r="AS8" s="9" t="n">
        <f aca="false">MAX(0,MIN(1,0.25+0.4*MAX(0,MIN(1,(Inputs!$B$53-0.8)/0.4))+0.2*MAX(0,MIN(1,R8/0.8))+0.1*AC8+Inputs!$B$59*(A8-1)-IF(Inputs!$B$66="Turn down",Inputs!$B$69*IF(Inputs!$B$67="Expected",IF(A8=1,1,Inputs!$B$70),1),0)+SUMPRODUCT(('Scripted events'!$B$5:$B$60=A8)*'Scripted events'!$K$5:$K$60*'Scripted events'!$G$5:$G$60)))</f>
        <v>0.736497710156114</v>
      </c>
      <c r="AT8" s="4" t="n">
        <f aca="false">IF(AN8&gt;=Inputs!H40,1,0)</f>
        <v>1</v>
      </c>
      <c r="AU8" s="4" t="n">
        <f aca="false">IF(AR8&gt;=Inputs!F40,1,0)</f>
        <v>1</v>
      </c>
      <c r="AV8" s="4" t="n">
        <f aca="false">IF(AS8&gt;=Inputs!G40,1,0)</f>
        <v>1</v>
      </c>
      <c r="AW8" s="4" t="n">
        <f aca="false">AT8+AU8+AV8</f>
        <v>3</v>
      </c>
      <c r="AX8" s="5" t="str">
        <f aca="false">IF(AW8&gt;=2,"Pass","Replay")</f>
        <v>Pass</v>
      </c>
      <c r="AY8" s="6" t="n">
        <f aca="false">IF(AW8=3,Inputs!$B$16,Inputs!$B$15)*I8</f>
        <v>26007.9679844792</v>
      </c>
      <c r="AZ8" s="6" t="n">
        <f aca="false">MAX(0,J8+AM8-I8-AY8)</f>
        <v>59597.0091680821</v>
      </c>
      <c r="BA8" s="30" t="n">
        <f aca="false">Inputs!$B$22*V8+(1-Inputs!$B$22)*(AR8+AS8)/2+SUMPRODUCT(('Scripted events'!$B$5:$B$60=A8)*'Scripted events'!$K$5:$K$60*'Scripted events'!$H$5:$H$60)</f>
        <v>0.655191467807844</v>
      </c>
      <c r="BB8" s="6" t="n">
        <f aca="false">IF(Inputs!$B$66="Ignore",IF(Inputs!$B$67="Fined",1,IF(Inputs!$B$67="Not fined",0,Inputs!$B$65*IF(A8=1,1,Inputs!$B$70)))*IF(Inputs!$B$63="Yes",Inputs!$B$64*G8,Inputs!$B$62),0)</f>
        <v>2578.125</v>
      </c>
      <c r="BC8" s="6" t="n">
        <f aca="false">SUMPRODUCT(('Scripted events'!$B$5:$B$60=A8)*'Scripted events'!$K$5:$K$60*'Scripted events'!$E$5:$E$60)*G8</f>
        <v>0</v>
      </c>
    </row>
    <row r="9" customFormat="false" ht="15" hidden="false" customHeight="false" outlineLevel="0" collapsed="false">
      <c r="A9" s="4" t="n">
        <f aca="false">Inputs!A41</f>
        <v>5</v>
      </c>
      <c r="B9" s="5" t="str">
        <f aca="false">Inputs!B41</f>
        <v>Themed Weekend</v>
      </c>
      <c r="C9" s="28" t="n">
        <f aca="false">Inputs!C41</f>
        <v>5000</v>
      </c>
      <c r="D9" s="4" t="n">
        <f aca="false">Inputs!D41</f>
        <v>2</v>
      </c>
      <c r="E9" s="6" t="n">
        <f aca="false">Inputs!E41</f>
        <v>55</v>
      </c>
      <c r="F9" s="29" t="n">
        <f aca="false">E9*(1+Inputs!$B$7*(D9-1))</f>
        <v>82.5</v>
      </c>
      <c r="G9" s="6" t="n">
        <f aca="false">C9*F9</f>
        <v>412500</v>
      </c>
      <c r="H9" s="6" t="n">
        <f aca="false">AZ8</f>
        <v>59597.0091680821</v>
      </c>
      <c r="I9" s="6" t="n">
        <f aca="false">IF(Inputs!$B$13="Yes",MAX(0,Inputs!$B$14*G9-H9),0)</f>
        <v>394152.990831918</v>
      </c>
      <c r="J9" s="6" t="n">
        <f aca="false">H9+I9</f>
        <v>453750</v>
      </c>
      <c r="K9" s="30" t="n">
        <f aca="false">Inputs!$B$49</f>
        <v>0.75</v>
      </c>
      <c r="L9" s="30" t="n">
        <f aca="false">Inputs!$B$50</f>
        <v>0.75</v>
      </c>
      <c r="M9" s="6" t="n">
        <f aca="false">Inputs!$B$10*G9*K9^1.5*Inputs!$B$53*(1-0.1*Inputs!$B$52)</f>
        <v>218628.113185382</v>
      </c>
      <c r="N9" s="6" t="n">
        <f aca="false">Inputs!$B$11*G9*L9</f>
        <v>92812.5</v>
      </c>
      <c r="O9" s="6" t="n">
        <f aca="false">Inputs!$B$12*G9</f>
        <v>152625</v>
      </c>
      <c r="P9" s="30" t="n">
        <f aca="false">IF(M9+N9+O9&gt;J9,MAX(0.15,MIN(1,(J9-O9)/(M9+N9))),1)</f>
        <v>0.966877752134269</v>
      </c>
      <c r="Q9" s="30" t="n">
        <f aca="false">K9*P9^0.67</f>
        <v>0.733263746472264</v>
      </c>
      <c r="R9" s="30" t="n">
        <f aca="false">L9*P9</f>
        <v>0.725158314100702</v>
      </c>
      <c r="S9" s="6" t="n">
        <f aca="false">Inputs!$B$10*G9*Q9^1.5*Inputs!$B$53*(1-0.1*Inputs!$B$52)</f>
        <v>211351.060720376</v>
      </c>
      <c r="T9" s="6" t="n">
        <f aca="false">Inputs!$B$11*G9*R9</f>
        <v>89738.3413699618</v>
      </c>
      <c r="U9" s="6" t="n">
        <f aca="false">S9+T9+O9</f>
        <v>453714.402090338</v>
      </c>
      <c r="V9" s="30" t="n">
        <f aca="false">BA8</f>
        <v>0.655191467807844</v>
      </c>
      <c r="W9" s="30" t="n">
        <f aca="false">MAX(0.3,1-1.1*(Inputs!$B$51/(0.6+0.6*Q9)-1))</f>
        <v>1.04226522820618</v>
      </c>
      <c r="X9" s="30" t="n">
        <f aca="false">(0.2+0.8*Q9)*(0.75+0.5*V9)*W9</f>
        <v>0.883474718634538</v>
      </c>
      <c r="Y9" s="31" t="n">
        <f aca="false">MAX(0,MIN(1,X9))</f>
        <v>0.883474718634538</v>
      </c>
      <c r="Z9" s="30" t="n">
        <f aca="false">R9*1.25</f>
        <v>0.906447892625877</v>
      </c>
      <c r="AA9" s="30" t="n">
        <f aca="false">IF(Inputs!$B$55=0,0,IF(Inputs!$B$55=1,IF(Y9&lt;0.8,0.5,0),IF(AND(Y9&lt;0.85,Z9/(Y9+0.5*(1-Y9))&gt;=0.95),1,0)))</f>
        <v>0</v>
      </c>
      <c r="AB9" s="30" t="n">
        <f aca="false">0.5*(1-Y9)</f>
        <v>0.0582626406827312</v>
      </c>
      <c r="AC9" s="31" t="n">
        <f aca="false">Y9+AA9*AB9</f>
        <v>0.883474718634538</v>
      </c>
      <c r="AD9" s="6" t="n">
        <f aca="false">Y9*C9*F9*Inputs!$B$51</f>
        <v>364433.321436747</v>
      </c>
      <c r="AE9" s="6" t="n">
        <f aca="false">Y9*C9*Inputs!$B$8*F9*MIN(1,Z9/MAX(Y9,0.0001))^0.5+AA9*AB9*C9*Inputs!$B$8*F9*MIN(1,Z9/MAX(AC9,0.0001))^0.5</f>
        <v>163994.994646536</v>
      </c>
      <c r="AF9" s="6" t="n">
        <f aca="false">AA9*(AB9*C9*F9*Inputs!$B$51*0.6-0.1*Y9*C9*F9*Inputs!$B$51*0.4)</f>
        <v>-0</v>
      </c>
      <c r="AG9" s="6" t="n">
        <f aca="false">Inputs!$B$56*0.175*Y9*C9*(Inputs!$B$9*F9)*0.5*0.7</f>
        <v>0</v>
      </c>
      <c r="AH9" s="6" t="n">
        <f aca="false">(AD9+AE9+AF9+AG9)*Inputs!$B$19*MIN(Inputs!$B$58,Inputs!$B$18)</f>
        <v>0</v>
      </c>
      <c r="AI9" s="4" t="n">
        <f aca="false">IF(Inputs!$B$57=0,3,IF(Inputs!$B$57=1,IF(MAX(0,MIN(1,X9))&gt;=Inputs!$C$26,2,1),IF(MAX(0,MIN(1,X9))-0.07&gt;=Inputs!$C$27,3,IF(MAX(0,MIN(1,X9))-0.07&gt;=Inputs!$C$26,2,1))))</f>
        <v>2</v>
      </c>
      <c r="AJ9" s="31" t="n">
        <f aca="false">INDEX(Inputs!$C$25:$C$27,AI9)</f>
        <v>0.65</v>
      </c>
      <c r="AK9" s="6" t="n">
        <f aca="false">IF(Inputs!$B$23="No",0,IF(IF(Inputs!$B$20="Yes",AC9,Y9)&gt;=AJ9,INDEX(Inputs!$B$25:$B$27,AI9)*G9,0))</f>
        <v>0</v>
      </c>
      <c r="AL9" s="6" t="n">
        <f aca="false">AD9+AE9+AF9+AG9+AH9+AK9</f>
        <v>528428.316083283</v>
      </c>
      <c r="AM9" s="7" t="n">
        <f aca="false">AL9-U9-BB9-BC9</f>
        <v>72135.7889929453</v>
      </c>
      <c r="AN9" s="8" t="n">
        <f aca="false">AM9/IF(Inputs!$B$17="Planned spend",U9,J9)</f>
        <v>0.158989418587119</v>
      </c>
      <c r="AO9" s="30" t="n">
        <f aca="false">MIN(1,Z9/MAX(AC9,0.01))</f>
        <v>1</v>
      </c>
      <c r="AP9" s="30" t="n">
        <f aca="false">MAX(0,MIN(1,1-2*MAX(0,Inputs!$B$51/(0.6+0.6*Q9)-1)))</f>
        <v>1</v>
      </c>
      <c r="AQ9" s="22" t="n">
        <f aca="false">0.09*(1-0.7*Inputs!$B$54)</f>
        <v>0.0585</v>
      </c>
      <c r="AR9" s="9" t="n">
        <f aca="false">MAX(0,MIN(1,0.35*AO9+0.3*Q9+0.08*AP9+0.15*V9-AQ9+Inputs!$B$59*(A9-1)-IF(Inputs!$B$66="Turn down",Inputs!$B$68*IF(Inputs!$B$67="Expected",IF(A9=1,1,Inputs!$B$70),1),0)+SUMPRODUCT(('Scripted events'!$B$5:$B$60=A9)*'Scripted events'!$K$5:$K$60*'Scripted events'!$F$5:$F$60)))</f>
        <v>0.713757844112856</v>
      </c>
      <c r="AS9" s="9" t="n">
        <f aca="false">MAX(0,MIN(1,0.25+0.4*MAX(0,MIN(1,(Inputs!$B$53-0.8)/0.4))+0.2*MAX(0,MIN(1,R9/0.8))+0.1*AC9+Inputs!$B$59*(A9-1)-IF(Inputs!$B$66="Turn down",Inputs!$B$69*IF(Inputs!$B$67="Expected",IF(A9=1,1,Inputs!$B$70),1),0)+SUMPRODUCT(('Scripted events'!$B$5:$B$60=A9)*'Scripted events'!$K$5:$K$60*'Scripted events'!$G$5:$G$60)))</f>
        <v>0.743637050388629</v>
      </c>
      <c r="AT9" s="4" t="n">
        <f aca="false">IF(AN9&gt;=Inputs!H41,1,0)</f>
        <v>1</v>
      </c>
      <c r="AU9" s="4" t="n">
        <f aca="false">IF(AR9&gt;=Inputs!F41,1,0)</f>
        <v>1</v>
      </c>
      <c r="AV9" s="4" t="n">
        <f aca="false">IF(AS9&gt;=Inputs!G41,1,0)</f>
        <v>1</v>
      </c>
      <c r="AW9" s="4" t="n">
        <f aca="false">AT9+AU9+AV9</f>
        <v>3</v>
      </c>
      <c r="AX9" s="5" t="str">
        <f aca="false">IF(AW9&gt;=2,"Pass","Replay")</f>
        <v>Pass</v>
      </c>
      <c r="AY9" s="6" t="n">
        <f aca="false">IF(AW9=3,Inputs!$B$16,Inputs!$B$15)*I9</f>
        <v>23649.1794499151</v>
      </c>
      <c r="AZ9" s="6" t="n">
        <f aca="false">MAX(0,J9+AM9-I9-AY9)</f>
        <v>108083.618711112</v>
      </c>
      <c r="BA9" s="30" t="n">
        <f aca="false">Inputs!$B$22*V9+(1-Inputs!$B$22)*(AR9+AS9)/2+SUMPRODUCT(('Scripted events'!$B$5:$B$60=A9)*'Scripted events'!$K$5:$K$60*'Scripted events'!$H$5:$H$60)</f>
        <v>0.677243261640714</v>
      </c>
      <c r="BB9" s="6" t="n">
        <f aca="false">IF(Inputs!$B$66="Ignore",IF(Inputs!$B$67="Fined",1,IF(Inputs!$B$67="Not fined",0,Inputs!$B$65*IF(A9=1,1,Inputs!$B$70)))*IF(Inputs!$B$63="Yes",Inputs!$B$64*G9,Inputs!$B$62),0)</f>
        <v>2578.125</v>
      </c>
      <c r="BC9" s="6" t="n">
        <f aca="false">SUMPRODUCT(('Scripted events'!$B$5:$B$60=A9)*'Scripted events'!$K$5:$K$60*'Scripted events'!$E$5:$E$60)*G9</f>
        <v>0</v>
      </c>
    </row>
    <row r="10" customFormat="false" ht="15" hidden="false" customHeight="false" outlineLevel="0" collapsed="false">
      <c r="A10" s="4" t="n">
        <f aca="false">Inputs!A42</f>
        <v>6</v>
      </c>
      <c r="B10" s="5" t="str">
        <f aca="false">Inputs!B42</f>
        <v>Growing Up</v>
      </c>
      <c r="C10" s="28" t="n">
        <f aca="false">Inputs!C42</f>
        <v>10000</v>
      </c>
      <c r="D10" s="4" t="n">
        <f aca="false">Inputs!D42</f>
        <v>3</v>
      </c>
      <c r="E10" s="6" t="n">
        <f aca="false">Inputs!E42</f>
        <v>70</v>
      </c>
      <c r="F10" s="29" t="n">
        <f aca="false">E10*(1+Inputs!$B$7*(D10-1))</f>
        <v>140</v>
      </c>
      <c r="G10" s="6" t="n">
        <f aca="false">C10*F10</f>
        <v>1400000</v>
      </c>
      <c r="H10" s="6" t="n">
        <f aca="false">AZ9</f>
        <v>108083.618711112</v>
      </c>
      <c r="I10" s="6" t="n">
        <f aca="false">IF(Inputs!$B$13="Yes",MAX(0,Inputs!$B$14*G10-H10),0)</f>
        <v>1431916.38128889</v>
      </c>
      <c r="J10" s="6" t="n">
        <f aca="false">H10+I10</f>
        <v>1540000</v>
      </c>
      <c r="K10" s="30" t="n">
        <f aca="false">Inputs!$B$49</f>
        <v>0.75</v>
      </c>
      <c r="L10" s="30" t="n">
        <f aca="false">Inputs!$B$50</f>
        <v>0.75</v>
      </c>
      <c r="M10" s="6" t="n">
        <f aca="false">Inputs!$B$10*G10*K10^1.5*Inputs!$B$53*(1-0.1*Inputs!$B$52)</f>
        <v>742010.565962507</v>
      </c>
      <c r="N10" s="6" t="n">
        <f aca="false">Inputs!$B$11*G10*L10</f>
        <v>315000</v>
      </c>
      <c r="O10" s="6" t="n">
        <f aca="false">Inputs!$B$12*G10</f>
        <v>518000</v>
      </c>
      <c r="P10" s="30" t="n">
        <f aca="false">IF(M10+N10+O10&gt;J10,MAX(0.15,MIN(1,(J10-O10)/(M10+N10))),1)</f>
        <v>0.966877752134269</v>
      </c>
      <c r="Q10" s="30" t="n">
        <f aca="false">K10*P10^0.67</f>
        <v>0.733263746472264</v>
      </c>
      <c r="R10" s="30" t="n">
        <f aca="false">L10*P10</f>
        <v>0.725158314100702</v>
      </c>
      <c r="S10" s="6" t="n">
        <f aca="false">Inputs!$B$10*G10*Q10^1.5*Inputs!$B$53*(1-0.1*Inputs!$B$52)</f>
        <v>717312.69092976</v>
      </c>
      <c r="T10" s="6" t="n">
        <f aca="false">Inputs!$B$11*G10*R10</f>
        <v>304566.491922295</v>
      </c>
      <c r="U10" s="6" t="n">
        <f aca="false">S10+T10+O10</f>
        <v>1539879.18285205</v>
      </c>
      <c r="V10" s="30" t="n">
        <f aca="false">BA9</f>
        <v>0.677243261640714</v>
      </c>
      <c r="W10" s="30" t="n">
        <f aca="false">MAX(0.3,1-1.1*(Inputs!$B$51/(0.6+0.6*Q10)-1))</f>
        <v>1.04226522820618</v>
      </c>
      <c r="X10" s="30" t="n">
        <f aca="false">(0.2+0.8*Q10)*(0.75+0.5*V10)*W10</f>
        <v>0.892514380605591</v>
      </c>
      <c r="Y10" s="31" t="n">
        <f aca="false">MAX(0,MIN(1,X10))</f>
        <v>0.892514380605591</v>
      </c>
      <c r="Z10" s="30" t="n">
        <f aca="false">R10*1.25</f>
        <v>0.906447892625877</v>
      </c>
      <c r="AA10" s="30" t="n">
        <f aca="false">IF(Inputs!$B$55=0,0,IF(Inputs!$B$55=1,IF(Y10&lt;0.8,0.5,0),IF(AND(Y10&lt;0.85,Z10/(Y10+0.5*(1-Y10))&gt;=0.95),1,0)))</f>
        <v>0</v>
      </c>
      <c r="AB10" s="30" t="n">
        <f aca="false">0.5*(1-Y10)</f>
        <v>0.0537428096972045</v>
      </c>
      <c r="AC10" s="31" t="n">
        <f aca="false">Y10+AA10*AB10</f>
        <v>0.892514380605591</v>
      </c>
      <c r="AD10" s="6" t="n">
        <f aca="false">Y10*C10*F10*Inputs!$B$51</f>
        <v>1249520.13284783</v>
      </c>
      <c r="AE10" s="6" t="n">
        <f aca="false">Y10*C10*Inputs!$B$8*F10*MIN(1,Z10/MAX(Y10,0.0001))^0.5+AA10*AB10*C10*Inputs!$B$8*F10*MIN(1,Z10/MAX(AC10,0.0001))^0.5</f>
        <v>562284.059781522</v>
      </c>
      <c r="AF10" s="6" t="n">
        <f aca="false">AA10*(AB10*C10*F10*Inputs!$B$51*0.6-0.1*Y10*C10*F10*Inputs!$B$51*0.4)</f>
        <v>-0</v>
      </c>
      <c r="AG10" s="6" t="n">
        <f aca="false">Inputs!$B$56*0.175*Y10*C10*(Inputs!$B$9*F10)*0.5*0.7</f>
        <v>0</v>
      </c>
      <c r="AH10" s="6" t="n">
        <f aca="false">(AD10+AE10+AF10+AG10)*Inputs!$B$19*MIN(Inputs!$B$58,Inputs!$B$18)</f>
        <v>0</v>
      </c>
      <c r="AI10" s="4" t="n">
        <f aca="false">IF(Inputs!$B$57=0,3,IF(Inputs!$B$57=1,IF(MAX(0,MIN(1,X10))&gt;=Inputs!$C$26,2,1),IF(MAX(0,MIN(1,X10))-0.07&gt;=Inputs!$C$27,3,IF(MAX(0,MIN(1,X10))-0.07&gt;=Inputs!$C$26,2,1))))</f>
        <v>2</v>
      </c>
      <c r="AJ10" s="31" t="n">
        <f aca="false">INDEX(Inputs!$C$25:$C$27,AI10)</f>
        <v>0.65</v>
      </c>
      <c r="AK10" s="6" t="n">
        <f aca="false">IF(Inputs!$B$23="No",0,IF(IF(Inputs!$B$20="Yes",AC10,Y10)&gt;=AJ10,INDEX(Inputs!$B$25:$B$27,AI10)*G10,0))</f>
        <v>0</v>
      </c>
      <c r="AL10" s="6" t="n">
        <f aca="false">AD10+AE10+AF10+AG10+AH10+AK10</f>
        <v>1811804.19262935</v>
      </c>
      <c r="AM10" s="7" t="n">
        <f aca="false">AL10-U10-BB10-BC10</f>
        <v>263175.009777295</v>
      </c>
      <c r="AN10" s="8" t="n">
        <f aca="false">AM10/IF(Inputs!$B$17="Planned spend",U10,J10)</f>
        <v>0.170906271549084</v>
      </c>
      <c r="AO10" s="30" t="n">
        <f aca="false">MIN(1,Z10/MAX(AC10,0.01))</f>
        <v>1</v>
      </c>
      <c r="AP10" s="30" t="n">
        <f aca="false">MAX(0,MIN(1,1-2*MAX(0,Inputs!$B$51/(0.6+0.6*Q10)-1)))</f>
        <v>1</v>
      </c>
      <c r="AQ10" s="22" t="n">
        <f aca="false">0.09*(1-0.7*Inputs!$B$54)</f>
        <v>0.0585</v>
      </c>
      <c r="AR10" s="9" t="n">
        <f aca="false">MAX(0,MIN(1,0.35*AO10+0.3*Q10+0.08*AP10+0.15*V10-AQ10+Inputs!$B$59*(A10-1)-IF(Inputs!$B$66="Turn down",Inputs!$B$68*IF(Inputs!$B$67="Expected",IF(A10=1,1,Inputs!$B$70),1),0)+SUMPRODUCT(('Scripted events'!$B$5:$B$60=A10)*'Scripted events'!$K$5:$K$60*'Scripted events'!$F$5:$F$60)))</f>
        <v>0.723065613187786</v>
      </c>
      <c r="AS10" s="9" t="n">
        <f aca="false">MAX(0,MIN(1,0.25+0.4*MAX(0,MIN(1,(Inputs!$B$53-0.8)/0.4))+0.2*MAX(0,MIN(1,R10/0.8))+0.1*AC10+Inputs!$B$59*(A10-1)-IF(Inputs!$B$66="Turn down",Inputs!$B$69*IF(Inputs!$B$67="Expected",IF(A10=1,1,Inputs!$B$70),1),0)+SUMPRODUCT(('Scripted events'!$B$5:$B$60=A10)*'Scripted events'!$K$5:$K$60*'Scripted events'!$G$5:$G$60)))</f>
        <v>0.750541016585735</v>
      </c>
      <c r="AT10" s="4" t="n">
        <f aca="false">IF(AN10&gt;=Inputs!H42,1,0)</f>
        <v>1</v>
      </c>
      <c r="AU10" s="4" t="n">
        <f aca="false">IF(AR10&gt;=Inputs!F42,1,0)</f>
        <v>1</v>
      </c>
      <c r="AV10" s="4" t="n">
        <f aca="false">IF(AS10&gt;=Inputs!G42,1,0)</f>
        <v>1</v>
      </c>
      <c r="AW10" s="4" t="n">
        <f aca="false">AT10+AU10+AV10</f>
        <v>3</v>
      </c>
      <c r="AX10" s="5" t="str">
        <f aca="false">IF(AW10&gt;=2,"Pass","Replay")</f>
        <v>Pass</v>
      </c>
      <c r="AY10" s="6" t="n">
        <f aca="false">IF(AW10=3,Inputs!$B$16,Inputs!$B$15)*I10</f>
        <v>85914.9828773333</v>
      </c>
      <c r="AZ10" s="6" t="n">
        <f aca="false">MAX(0,J10+AM10-I10-AY10)</f>
        <v>285343.645611074</v>
      </c>
      <c r="BA10" s="30" t="n">
        <f aca="false">Inputs!$B$22*V10+(1-Inputs!$B$22)*(AR10+AS10)/2+SUMPRODUCT(('Scripted events'!$B$5:$B$60=A10)*'Scripted events'!$K$5:$K$60*'Scripted events'!$H$5:$H$60)</f>
        <v>0.695111277614528</v>
      </c>
      <c r="BB10" s="6" t="n">
        <f aca="false">IF(Inputs!$B$66="Ignore",IF(Inputs!$B$67="Fined",1,IF(Inputs!$B$67="Not fined",0,Inputs!$B$65*IF(A10=1,1,Inputs!$B$70)))*IF(Inputs!$B$63="Yes",Inputs!$B$64*G10,Inputs!$B$62),0)</f>
        <v>8750</v>
      </c>
      <c r="BC10" s="6" t="n">
        <f aca="false">SUMPRODUCT(('Scripted events'!$B$5:$B$60=A10)*'Scripted events'!$K$5:$K$60*'Scripted events'!$E$5:$E$60)*G10</f>
        <v>0</v>
      </c>
    </row>
    <row r="11" customFormat="false" ht="15" hidden="false" customHeight="false" outlineLevel="0" collapsed="false">
      <c r="A11" s="4" t="n">
        <f aca="false">Inputs!A43</f>
        <v>7</v>
      </c>
      <c r="B11" s="5" t="str">
        <f aca="false">Inputs!B43</f>
        <v>The Big Booking</v>
      </c>
      <c r="C11" s="28" t="n">
        <f aca="false">Inputs!C43</f>
        <v>15000</v>
      </c>
      <c r="D11" s="4" t="n">
        <f aca="false">Inputs!D43</f>
        <v>3</v>
      </c>
      <c r="E11" s="6" t="n">
        <f aca="false">Inputs!E43</f>
        <v>85</v>
      </c>
      <c r="F11" s="29" t="n">
        <f aca="false">E11*(1+Inputs!$B$7*(D11-1))</f>
        <v>170</v>
      </c>
      <c r="G11" s="6" t="n">
        <f aca="false">C11*F11</f>
        <v>2550000</v>
      </c>
      <c r="H11" s="6" t="n">
        <f aca="false">AZ10</f>
        <v>285343.645611074</v>
      </c>
      <c r="I11" s="6" t="n">
        <f aca="false">IF(Inputs!$B$13="Yes",MAX(0,Inputs!$B$14*G11-H11),0)</f>
        <v>2519656.35438893</v>
      </c>
      <c r="J11" s="6" t="n">
        <f aca="false">H11+I11</f>
        <v>2805000</v>
      </c>
      <c r="K11" s="30" t="n">
        <f aca="false">Inputs!$B$49</f>
        <v>0.75</v>
      </c>
      <c r="L11" s="30" t="n">
        <f aca="false">Inputs!$B$50</f>
        <v>0.75</v>
      </c>
      <c r="M11" s="6" t="n">
        <f aca="false">Inputs!$B$10*G11*K11^1.5*Inputs!$B$53*(1-0.1*Inputs!$B$52)</f>
        <v>1351519.245146</v>
      </c>
      <c r="N11" s="6" t="n">
        <f aca="false">Inputs!$B$11*G11*L11</f>
        <v>573750</v>
      </c>
      <c r="O11" s="6" t="n">
        <f aca="false">Inputs!$B$12*G11</f>
        <v>943500</v>
      </c>
      <c r="P11" s="30" t="n">
        <f aca="false">IF(M11+N11+O11&gt;J11,MAX(0.15,MIN(1,(J11-O11)/(M11+N11))),1)</f>
        <v>0.966877752134269</v>
      </c>
      <c r="Q11" s="30" t="n">
        <f aca="false">K11*P11^0.67</f>
        <v>0.733263746472264</v>
      </c>
      <c r="R11" s="30" t="n">
        <f aca="false">L11*P11</f>
        <v>0.725158314100702</v>
      </c>
      <c r="S11" s="6" t="n">
        <f aca="false">Inputs!$B$10*G11*Q11^1.5*Inputs!$B$53*(1-0.1*Inputs!$B$52)</f>
        <v>1306533.82990778</v>
      </c>
      <c r="T11" s="6" t="n">
        <f aca="false">Inputs!$B$11*G11*R11</f>
        <v>554746.110287037</v>
      </c>
      <c r="U11" s="6" t="n">
        <f aca="false">S11+T11+O11</f>
        <v>2804779.94019481</v>
      </c>
      <c r="V11" s="30" t="n">
        <f aca="false">BA10</f>
        <v>0.695111277614528</v>
      </c>
      <c r="W11" s="30" t="n">
        <f aca="false">MAX(0.3,1-1.1*(Inputs!$B$51/(0.6+0.6*Q11)-1))</f>
        <v>1.04226522820618</v>
      </c>
      <c r="X11" s="30" t="n">
        <f aca="false">(0.2+0.8*Q11)*(0.75+0.5*V11)*W11</f>
        <v>0.89983899218689</v>
      </c>
      <c r="Y11" s="31" t="n">
        <f aca="false">MAX(0,MIN(1,X11))</f>
        <v>0.89983899218689</v>
      </c>
      <c r="Z11" s="30" t="n">
        <f aca="false">R11*1.25</f>
        <v>0.906447892625877</v>
      </c>
      <c r="AA11" s="30" t="n">
        <f aca="false">IF(Inputs!$B$55=0,0,IF(Inputs!$B$55=1,IF(Y11&lt;0.8,0.5,0),IF(AND(Y11&lt;0.85,Z11/(Y11+0.5*(1-Y11))&gt;=0.95),1,0)))</f>
        <v>0</v>
      </c>
      <c r="AB11" s="30" t="n">
        <f aca="false">0.5*(1-Y11)</f>
        <v>0.0500805039065549</v>
      </c>
      <c r="AC11" s="31" t="n">
        <f aca="false">Y11+AA11*AB11</f>
        <v>0.89983899218689</v>
      </c>
      <c r="AD11" s="6" t="n">
        <f aca="false">Y11*C11*F11*Inputs!$B$51</f>
        <v>2294589.43007657</v>
      </c>
      <c r="AE11" s="6" t="n">
        <f aca="false">Y11*C11*Inputs!$B$8*F11*MIN(1,Z11/MAX(Y11,0.0001))^0.5+AA11*AB11*C11*Inputs!$B$8*F11*MIN(1,Z11/MAX(AC11,0.0001))^0.5</f>
        <v>1032565.24353446</v>
      </c>
      <c r="AF11" s="6" t="n">
        <f aca="false">AA11*(AB11*C11*F11*Inputs!$B$51*0.6-0.1*Y11*C11*F11*Inputs!$B$51*0.4)</f>
        <v>-0</v>
      </c>
      <c r="AG11" s="6" t="n">
        <f aca="false">Inputs!$B$56*0.175*Y11*C11*(Inputs!$B$9*F11)*0.5*0.7</f>
        <v>0</v>
      </c>
      <c r="AH11" s="6" t="n">
        <f aca="false">(AD11+AE11+AF11+AG11)*Inputs!$B$19*MIN(Inputs!$B$58,Inputs!$B$18)</f>
        <v>0</v>
      </c>
      <c r="AI11" s="4" t="n">
        <f aca="false">IF(Inputs!$B$57=0,3,IF(Inputs!$B$57=1,IF(MAX(0,MIN(1,X11))&gt;=Inputs!$C$26,2,1),IF(MAX(0,MIN(1,X11))-0.07&gt;=Inputs!$C$27,3,IF(MAX(0,MIN(1,X11))-0.07&gt;=Inputs!$C$26,2,1))))</f>
        <v>2</v>
      </c>
      <c r="AJ11" s="31" t="n">
        <f aca="false">INDEX(Inputs!$C$25:$C$27,AI11)</f>
        <v>0.65</v>
      </c>
      <c r="AK11" s="6" t="n">
        <f aca="false">IF(Inputs!$B$23="No",0,IF(IF(Inputs!$B$20="Yes",AC11,Y11)&gt;=AJ11,INDEX(Inputs!$B$25:$B$27,AI11)*G11,0))</f>
        <v>0</v>
      </c>
      <c r="AL11" s="6" t="n">
        <f aca="false">AD11+AE11+AF11+AG11+AH11+AK11</f>
        <v>3327154.67361103</v>
      </c>
      <c r="AM11" s="7" t="n">
        <f aca="false">AL11-U11-BB11-BC11</f>
        <v>506437.233416213</v>
      </c>
      <c r="AN11" s="8" t="n">
        <f aca="false">AM11/IF(Inputs!$B$17="Planned spend",U11,J11)</f>
        <v>0.180562198894305</v>
      </c>
      <c r="AO11" s="30" t="n">
        <f aca="false">MIN(1,Z11/MAX(AC11,0.01))</f>
        <v>1</v>
      </c>
      <c r="AP11" s="30" t="n">
        <f aca="false">MAX(0,MIN(1,1-2*MAX(0,Inputs!$B$51/(0.6+0.6*Q11)-1)))</f>
        <v>1</v>
      </c>
      <c r="AQ11" s="22" t="n">
        <f aca="false">0.09*(1-0.7*Inputs!$B$54)</f>
        <v>0.0585</v>
      </c>
      <c r="AR11" s="9" t="n">
        <f aca="false">MAX(0,MIN(1,0.35*AO11+0.3*Q11+0.08*AP11+0.15*V11-AQ11+Inputs!$B$59*(A11-1)-IF(Inputs!$B$66="Turn down",Inputs!$B$68*IF(Inputs!$B$67="Expected",IF(A11=1,1,Inputs!$B$70),1),0)+SUMPRODUCT(('Scripted events'!$B$5:$B$60=A11)*'Scripted events'!$K$5:$K$60*'Scripted events'!$F$5:$F$60)))</f>
        <v>0.731745815583858</v>
      </c>
      <c r="AS11" s="9" t="n">
        <f aca="false">MAX(0,MIN(1,0.25+0.4*MAX(0,MIN(1,(Inputs!$B$53-0.8)/0.4))+0.2*MAX(0,MIN(1,R11/0.8))+0.1*AC11+Inputs!$B$59*(A11-1)-IF(Inputs!$B$66="Turn down",Inputs!$B$69*IF(Inputs!$B$67="Expected",IF(A11=1,1,Inputs!$B$70),1),0)+SUMPRODUCT(('Scripted events'!$B$5:$B$60=A11)*'Scripted events'!$K$5:$K$60*'Scripted events'!$G$5:$G$60)))</f>
        <v>0.757273477743864</v>
      </c>
      <c r="AT11" s="4" t="n">
        <f aca="false">IF(AN11&gt;=Inputs!H43,1,0)</f>
        <v>1</v>
      </c>
      <c r="AU11" s="4" t="n">
        <f aca="false">IF(AR11&gt;=Inputs!F43,1,0)</f>
        <v>1</v>
      </c>
      <c r="AV11" s="4" t="n">
        <f aca="false">IF(AS11&gt;=Inputs!G43,1,0)</f>
        <v>1</v>
      </c>
      <c r="AW11" s="4" t="n">
        <f aca="false">AT11+AU11+AV11</f>
        <v>3</v>
      </c>
      <c r="AX11" s="5" t="str">
        <f aca="false">IF(AW11&gt;=2,"Pass","Replay")</f>
        <v>Pass</v>
      </c>
      <c r="AY11" s="6" t="n">
        <f aca="false">IF(AW11=3,Inputs!$B$16,Inputs!$B$15)*I11</f>
        <v>151179.381263336</v>
      </c>
      <c r="AZ11" s="6" t="n">
        <f aca="false">MAX(0,J11+AM11-I11-AY11)</f>
        <v>640601.497763952</v>
      </c>
      <c r="BA11" s="30" t="n">
        <f aca="false">Inputs!$B$22*V11+(1-Inputs!$B$22)*(AR11+AS11)/2+SUMPRODUCT(('Scripted events'!$B$5:$B$60=A11)*'Scripted events'!$K$5:$K$60*'Scripted events'!$H$5:$H$60)</f>
        <v>0.709930788329328</v>
      </c>
      <c r="BB11" s="6" t="n">
        <f aca="false">IF(Inputs!$B$66="Ignore",IF(Inputs!$B$67="Fined",1,IF(Inputs!$B$67="Not fined",0,Inputs!$B$65*IF(A11=1,1,Inputs!$B$70)))*IF(Inputs!$B$63="Yes",Inputs!$B$64*G11,Inputs!$B$62),0)</f>
        <v>15937.5</v>
      </c>
      <c r="BC11" s="6" t="n">
        <f aca="false">SUMPRODUCT(('Scripted events'!$B$5:$B$60=A11)*'Scripted events'!$K$5:$K$60*'Scripted events'!$E$5:$E$60)*G11</f>
        <v>0</v>
      </c>
    </row>
    <row r="12" customFormat="false" ht="15" hidden="false" customHeight="false" outlineLevel="0" collapsed="false">
      <c r="A12" s="4" t="n">
        <f aca="false">Inputs!A44</f>
        <v>8</v>
      </c>
      <c r="B12" s="5" t="str">
        <f aca="false">Inputs!B44</f>
        <v>Logistics</v>
      </c>
      <c r="C12" s="28" t="n">
        <f aca="false">Inputs!C44</f>
        <v>25000</v>
      </c>
      <c r="D12" s="4" t="n">
        <f aca="false">Inputs!D44</f>
        <v>3</v>
      </c>
      <c r="E12" s="6" t="n">
        <f aca="false">Inputs!E44</f>
        <v>100</v>
      </c>
      <c r="F12" s="29" t="n">
        <f aca="false">E12*(1+Inputs!$B$7*(D12-1))</f>
        <v>200</v>
      </c>
      <c r="G12" s="6" t="n">
        <f aca="false">C12*F12</f>
        <v>5000000</v>
      </c>
      <c r="H12" s="6" t="n">
        <f aca="false">AZ11</f>
        <v>640601.497763952</v>
      </c>
      <c r="I12" s="6" t="n">
        <f aca="false">IF(Inputs!$B$13="Yes",MAX(0,Inputs!$B$14*G12-H12),0)</f>
        <v>4859398.50223605</v>
      </c>
      <c r="J12" s="6" t="n">
        <f aca="false">H12+I12</f>
        <v>5500000</v>
      </c>
      <c r="K12" s="30" t="n">
        <f aca="false">Inputs!$B$49</f>
        <v>0.75</v>
      </c>
      <c r="L12" s="30" t="n">
        <f aca="false">Inputs!$B$50</f>
        <v>0.75</v>
      </c>
      <c r="M12" s="6" t="n">
        <f aca="false">Inputs!$B$10*G12*K12^1.5*Inputs!$B$53*(1-0.1*Inputs!$B$52)</f>
        <v>2650037.73558038</v>
      </c>
      <c r="N12" s="6" t="n">
        <f aca="false">Inputs!$B$11*G12*L12</f>
        <v>1125000</v>
      </c>
      <c r="O12" s="6" t="n">
        <f aca="false">Inputs!$B$12*G12</f>
        <v>1850000</v>
      </c>
      <c r="P12" s="30" t="n">
        <f aca="false">IF(M12+N12+O12&gt;J12,MAX(0.15,MIN(1,(J12-O12)/(M12+N12))),1)</f>
        <v>0.966877752134269</v>
      </c>
      <c r="Q12" s="30" t="n">
        <f aca="false">K12*P12^0.67</f>
        <v>0.733263746472264</v>
      </c>
      <c r="R12" s="30" t="n">
        <f aca="false">L12*P12</f>
        <v>0.725158314100702</v>
      </c>
      <c r="S12" s="6" t="n">
        <f aca="false">Inputs!$B$10*G12*Q12^1.5*Inputs!$B$53*(1-0.1*Inputs!$B$52)</f>
        <v>2561831.03903486</v>
      </c>
      <c r="T12" s="6" t="n">
        <f aca="false">Inputs!$B$11*G12*R12</f>
        <v>1087737.47115105</v>
      </c>
      <c r="U12" s="6" t="n">
        <f aca="false">S12+T12+O12</f>
        <v>5499568.51018591</v>
      </c>
      <c r="V12" s="30" t="n">
        <f aca="false">BA11</f>
        <v>0.709930788329328</v>
      </c>
      <c r="W12" s="30" t="n">
        <f aca="false">MAX(0.3,1-1.1*(Inputs!$B$51/(0.6+0.6*Q12)-1))</f>
        <v>1.04226522820618</v>
      </c>
      <c r="X12" s="30" t="n">
        <f aca="false">(0.2+0.8*Q12)*(0.75+0.5*V12)*W12</f>
        <v>0.90591393413735</v>
      </c>
      <c r="Y12" s="31" t="n">
        <f aca="false">MAX(0,MIN(1,X12))</f>
        <v>0.90591393413735</v>
      </c>
      <c r="Z12" s="30" t="n">
        <f aca="false">R12*1.25</f>
        <v>0.906447892625877</v>
      </c>
      <c r="AA12" s="30" t="n">
        <f aca="false">IF(Inputs!$B$55=0,0,IF(Inputs!$B$55=1,IF(Y12&lt;0.8,0.5,0),IF(AND(Y12&lt;0.85,Z12/(Y12+0.5*(1-Y12))&gt;=0.95),1,0)))</f>
        <v>0</v>
      </c>
      <c r="AB12" s="30" t="n">
        <f aca="false">0.5*(1-Y12)</f>
        <v>0.0470430329313248</v>
      </c>
      <c r="AC12" s="31" t="n">
        <f aca="false">Y12+AA12*AB12</f>
        <v>0.90591393413735</v>
      </c>
      <c r="AD12" s="6" t="n">
        <f aca="false">Y12*C12*F12*Inputs!$B$51</f>
        <v>4529569.67068675</v>
      </c>
      <c r="AE12" s="6" t="n">
        <f aca="false">Y12*C12*Inputs!$B$8*F12*MIN(1,Z12/MAX(Y12,0.0001))^0.5+AA12*AB12*C12*Inputs!$B$8*F12*MIN(1,Z12/MAX(AC12,0.0001))^0.5</f>
        <v>2038306.35180904</v>
      </c>
      <c r="AF12" s="6" t="n">
        <f aca="false">AA12*(AB12*C12*F12*Inputs!$B$51*0.6-0.1*Y12*C12*F12*Inputs!$B$51*0.4)</f>
        <v>-0</v>
      </c>
      <c r="AG12" s="6" t="n">
        <f aca="false">Inputs!$B$56*0.175*Y12*C12*(Inputs!$B$9*F12)*0.5*0.7</f>
        <v>0</v>
      </c>
      <c r="AH12" s="6" t="n">
        <f aca="false">(AD12+AE12+AF12+AG12)*Inputs!$B$19*MIN(Inputs!$B$58,Inputs!$B$18)</f>
        <v>0</v>
      </c>
      <c r="AI12" s="4" t="n">
        <f aca="false">IF(Inputs!$B$57=0,3,IF(Inputs!$B$57=1,IF(MAX(0,MIN(1,X12))&gt;=Inputs!$C$26,2,1),IF(MAX(0,MIN(1,X12))-0.07&gt;=Inputs!$C$27,3,IF(MAX(0,MIN(1,X12))-0.07&gt;=Inputs!$C$26,2,1))))</f>
        <v>2</v>
      </c>
      <c r="AJ12" s="31" t="n">
        <f aca="false">INDEX(Inputs!$C$25:$C$27,AI12)</f>
        <v>0.65</v>
      </c>
      <c r="AK12" s="6" t="n">
        <f aca="false">IF(Inputs!$B$23="No",0,IF(IF(Inputs!$B$20="Yes",AC12,Y12)&gt;=AJ12,INDEX(Inputs!$B$25:$B$27,AI12)*G12,0))</f>
        <v>0</v>
      </c>
      <c r="AL12" s="6" t="n">
        <f aca="false">AD12+AE12+AF12+AG12+AH12+AK12</f>
        <v>6567876.02249579</v>
      </c>
      <c r="AM12" s="7" t="n">
        <f aca="false">AL12-U12-BB12-BC12</f>
        <v>1037057.51230988</v>
      </c>
      <c r="AN12" s="8" t="n">
        <f aca="false">AM12/IF(Inputs!$B$17="Planned spend",U12,J12)</f>
        <v>0.188570705208803</v>
      </c>
      <c r="AO12" s="30" t="n">
        <f aca="false">MIN(1,Z12/MAX(AC12,0.01))</f>
        <v>1</v>
      </c>
      <c r="AP12" s="30" t="n">
        <f aca="false">MAX(0,MIN(1,1-2*MAX(0,Inputs!$B$51/(0.6+0.6*Q12)-1)))</f>
        <v>1</v>
      </c>
      <c r="AQ12" s="22" t="n">
        <f aca="false">0.09*(1-0.7*Inputs!$B$54)</f>
        <v>0.0585</v>
      </c>
      <c r="AR12" s="9" t="n">
        <f aca="false">MAX(0,MIN(1,0.35*AO12+0.3*Q12+0.08*AP12+0.15*V12-AQ12+Inputs!$B$59*(A12-1)-IF(Inputs!$B$66="Turn down",Inputs!$B$68*IF(Inputs!$B$67="Expected",IF(A12=1,1,Inputs!$B$70),1),0)+SUMPRODUCT(('Scripted events'!$B$5:$B$60=A12)*'Scripted events'!$K$5:$K$60*'Scripted events'!$F$5:$F$60)))</f>
        <v>0.739968742191078</v>
      </c>
      <c r="AS12" s="9" t="n">
        <f aca="false">MAX(0,MIN(1,0.25+0.4*MAX(0,MIN(1,(Inputs!$B$53-0.8)/0.4))+0.2*MAX(0,MIN(1,R12/0.8))+0.1*AC12+Inputs!$B$59*(A12-1)-IF(Inputs!$B$66="Turn down",Inputs!$B$69*IF(Inputs!$B$67="Expected",IF(A12=1,1,Inputs!$B$70),1),0)+SUMPRODUCT(('Scripted events'!$B$5:$B$60=A12)*'Scripted events'!$K$5:$K$60*'Scripted events'!$G$5:$G$60)))</f>
        <v>0.76388097193891</v>
      </c>
      <c r="AT12" s="4" t="n">
        <f aca="false">IF(AN12&gt;=Inputs!H44,1,0)</f>
        <v>1</v>
      </c>
      <c r="AU12" s="4" t="n">
        <f aca="false">IF(AR12&gt;=Inputs!F44,1,0)</f>
        <v>1</v>
      </c>
      <c r="AV12" s="4" t="n">
        <f aca="false">IF(AS12&gt;=Inputs!G44,1,0)</f>
        <v>1</v>
      </c>
      <c r="AW12" s="4" t="n">
        <f aca="false">AT12+AU12+AV12</f>
        <v>3</v>
      </c>
      <c r="AX12" s="5" t="str">
        <f aca="false">IF(AW12&gt;=2,"Pass","Replay")</f>
        <v>Pass</v>
      </c>
      <c r="AY12" s="6" t="n">
        <f aca="false">IF(AW12=3,Inputs!$B$16,Inputs!$B$15)*I12</f>
        <v>291563.910134163</v>
      </c>
      <c r="AZ12" s="6" t="n">
        <f aca="false">MAX(0,J12+AM12-I12-AY12)</f>
        <v>1386095.09993967</v>
      </c>
      <c r="BA12" s="30" t="n">
        <f aca="false">Inputs!$B$22*V12+(1-Inputs!$B$22)*(AR12+AS12)/2+SUMPRODUCT(('Scripted events'!$B$5:$B$60=A12)*'Scripted events'!$K$5:$K$60*'Scripted events'!$H$5:$H$60)</f>
        <v>0.722529008950028</v>
      </c>
      <c r="BB12" s="6" t="n">
        <f aca="false">IF(Inputs!$B$66="Ignore",IF(Inputs!$B$67="Fined",1,IF(Inputs!$B$67="Not fined",0,Inputs!$B$65*IF(A12=1,1,Inputs!$B$70)))*IF(Inputs!$B$63="Yes",Inputs!$B$64*G12,Inputs!$B$62),0)</f>
        <v>31250</v>
      </c>
      <c r="BC12" s="6" t="n">
        <f aca="false">SUMPRODUCT(('Scripted events'!$B$5:$B$60=A12)*'Scripted events'!$K$5:$K$60*'Scripted events'!$E$5:$E$60)*G12</f>
        <v>0</v>
      </c>
    </row>
    <row r="13" customFormat="false" ht="15" hidden="false" customHeight="false" outlineLevel="0" collapsed="false">
      <c r="A13" s="4" t="n">
        <f aca="false">Inputs!A45</f>
        <v>9</v>
      </c>
      <c r="B13" s="5" t="str">
        <f aca="false">Inputs!B45</f>
        <v>The Council</v>
      </c>
      <c r="C13" s="28" t="n">
        <f aca="false">Inputs!C45</f>
        <v>30000</v>
      </c>
      <c r="D13" s="4" t="n">
        <f aca="false">Inputs!D45</f>
        <v>3</v>
      </c>
      <c r="E13" s="6" t="n">
        <f aca="false">Inputs!E45</f>
        <v>110</v>
      </c>
      <c r="F13" s="29" t="n">
        <f aca="false">E13*(1+Inputs!$B$7*(D13-1))</f>
        <v>220</v>
      </c>
      <c r="G13" s="6" t="n">
        <f aca="false">C13*F13</f>
        <v>6600000</v>
      </c>
      <c r="H13" s="6" t="n">
        <f aca="false">AZ12</f>
        <v>1386095.09993967</v>
      </c>
      <c r="I13" s="6" t="n">
        <f aca="false">IF(Inputs!$B$13="Yes",MAX(0,Inputs!$B$14*G13-H13),0)</f>
        <v>5873904.90006033</v>
      </c>
      <c r="J13" s="6" t="n">
        <f aca="false">H13+I13</f>
        <v>7260000</v>
      </c>
      <c r="K13" s="30" t="n">
        <f aca="false">Inputs!$B$49</f>
        <v>0.75</v>
      </c>
      <c r="L13" s="30" t="n">
        <f aca="false">Inputs!$B$50</f>
        <v>0.75</v>
      </c>
      <c r="M13" s="6" t="n">
        <f aca="false">Inputs!$B$10*G13*K13^1.5*Inputs!$B$53*(1-0.1*Inputs!$B$52)</f>
        <v>3498049.8109661</v>
      </c>
      <c r="N13" s="6" t="n">
        <f aca="false">Inputs!$B$11*G13*L13</f>
        <v>1485000</v>
      </c>
      <c r="O13" s="6" t="n">
        <f aca="false">Inputs!$B$12*G13</f>
        <v>2442000</v>
      </c>
      <c r="P13" s="30" t="n">
        <f aca="false">IF(M13+N13+O13&gt;J13,MAX(0.15,MIN(1,(J13-O13)/(M13+N13))),1)</f>
        <v>0.966877752134269</v>
      </c>
      <c r="Q13" s="30" t="n">
        <f aca="false">K13*P13^0.67</f>
        <v>0.733263746472264</v>
      </c>
      <c r="R13" s="30" t="n">
        <f aca="false">L13*P13</f>
        <v>0.725158314100702</v>
      </c>
      <c r="S13" s="6" t="n">
        <f aca="false">Inputs!$B$10*G13*Q13^1.5*Inputs!$B$53*(1-0.1*Inputs!$B$52)</f>
        <v>3381616.97152601</v>
      </c>
      <c r="T13" s="6" t="n">
        <f aca="false">Inputs!$B$11*G13*R13</f>
        <v>1435813.46191939</v>
      </c>
      <c r="U13" s="6" t="n">
        <f aca="false">S13+T13+O13</f>
        <v>7259430.4334454</v>
      </c>
      <c r="V13" s="30" t="n">
        <f aca="false">BA12</f>
        <v>0.722529008950028</v>
      </c>
      <c r="W13" s="30" t="n">
        <f aca="false">MAX(0.3,1-1.1*(Inputs!$B$51/(0.6+0.6*Q13)-1))</f>
        <v>1.04226522820618</v>
      </c>
      <c r="X13" s="30" t="n">
        <f aca="false">(0.2+0.8*Q13)*(0.75+0.5*V13)*W13</f>
        <v>0.911078305648848</v>
      </c>
      <c r="Y13" s="31" t="n">
        <f aca="false">MAX(0,MIN(1,X13))</f>
        <v>0.911078305648848</v>
      </c>
      <c r="Z13" s="30" t="n">
        <f aca="false">R13*1.25</f>
        <v>0.906447892625877</v>
      </c>
      <c r="AA13" s="30" t="n">
        <f aca="false">IF(Inputs!$B$55=0,0,IF(Inputs!$B$55=1,IF(Y13&lt;0.8,0.5,0),IF(AND(Y13&lt;0.85,Z13/(Y13+0.5*(1-Y13))&gt;=0.95),1,0)))</f>
        <v>0</v>
      </c>
      <c r="AB13" s="30" t="n">
        <f aca="false">0.5*(1-Y13)</f>
        <v>0.0444608471755761</v>
      </c>
      <c r="AC13" s="31" t="n">
        <f aca="false">Y13+AA13*AB13</f>
        <v>0.911078305648848</v>
      </c>
      <c r="AD13" s="6" t="n">
        <f aca="false">Y13*C13*F13*Inputs!$B$51</f>
        <v>6013116.8172824</v>
      </c>
      <c r="AE13" s="6" t="n">
        <f aca="false">Y13*C13*Inputs!$B$8*F13*MIN(1,Z13/MAX(Y13,0.0001))^0.5+AA13*AB13*C13*Inputs!$B$8*F13*MIN(1,Z13/MAX(AC13,0.0001))^0.5</f>
        <v>2699017.64540936</v>
      </c>
      <c r="AF13" s="6" t="n">
        <f aca="false">AA13*(AB13*C13*F13*Inputs!$B$51*0.6-0.1*Y13*C13*F13*Inputs!$B$51*0.4)</f>
        <v>-0</v>
      </c>
      <c r="AG13" s="6" t="n">
        <f aca="false">Inputs!$B$56*0.175*Y13*C13*(Inputs!$B$9*F13)*0.5*0.7</f>
        <v>0</v>
      </c>
      <c r="AH13" s="6" t="n">
        <f aca="false">(AD13+AE13+AF13+AG13)*Inputs!$B$19*MIN(Inputs!$B$58,Inputs!$B$18)</f>
        <v>0</v>
      </c>
      <c r="AI13" s="4" t="n">
        <f aca="false">IF(Inputs!$B$57=0,3,IF(Inputs!$B$57=1,IF(MAX(0,MIN(1,X13))&gt;=Inputs!$C$26,2,1),IF(MAX(0,MIN(1,X13))-0.07&gt;=Inputs!$C$27,3,IF(MAX(0,MIN(1,X13))-0.07&gt;=Inputs!$C$26,2,1))))</f>
        <v>2</v>
      </c>
      <c r="AJ13" s="31" t="n">
        <f aca="false">INDEX(Inputs!$C$25:$C$27,AI13)</f>
        <v>0.65</v>
      </c>
      <c r="AK13" s="6" t="n">
        <f aca="false">IF(Inputs!$B$23="No",0,IF(IF(Inputs!$B$20="Yes",AC13,Y13)&gt;=AJ13,INDEX(Inputs!$B$25:$B$27,AI13)*G13,0))</f>
        <v>0</v>
      </c>
      <c r="AL13" s="6" t="n">
        <f aca="false">AD13+AE13+AF13+AG13+AH13+AK13</f>
        <v>8712134.46269175</v>
      </c>
      <c r="AM13" s="7" t="n">
        <f aca="false">AL13-U13-BB13-BC13</f>
        <v>1411454.02924635</v>
      </c>
      <c r="AN13" s="8" t="n">
        <f aca="false">AM13/IF(Inputs!$B$17="Planned spend",U13,J13)</f>
        <v>0.194430409132864</v>
      </c>
      <c r="AO13" s="30" t="n">
        <f aca="false">MIN(1,Z13/MAX(AC13,0.01))</f>
        <v>0.994917656370192</v>
      </c>
      <c r="AP13" s="30" t="n">
        <f aca="false">MAX(0,MIN(1,1-2*MAX(0,Inputs!$B$51/(0.6+0.6*Q13)-1)))</f>
        <v>1</v>
      </c>
      <c r="AQ13" s="22" t="n">
        <f aca="false">0.09*(1-0.7*Inputs!$B$54)</f>
        <v>0.0585</v>
      </c>
      <c r="AR13" s="9" t="n">
        <f aca="false">MAX(0,MIN(1,0.35*AO13+0.3*Q13+0.08*AP13+0.15*V13-AQ13+Inputs!$B$59*(A13-1)-IF(Inputs!$B$66="Turn down",Inputs!$B$68*IF(Inputs!$B$67="Expected",IF(A13=1,1,Inputs!$B$70),1),0)+SUMPRODUCT(('Scripted events'!$B$5:$B$60=A13)*'Scripted events'!$K$5:$K$60*'Scripted events'!$F$5:$F$60)))</f>
        <v>0.746079655013751</v>
      </c>
      <c r="AS13" s="9" t="n">
        <f aca="false">MAX(0,MIN(1,0.25+0.4*MAX(0,MIN(1,(Inputs!$B$53-0.8)/0.4))+0.2*MAX(0,MIN(1,R13/0.8))+0.1*AC13+Inputs!$B$59*(A13-1)-IF(Inputs!$B$66="Turn down",Inputs!$B$69*IF(Inputs!$B$67="Expected",IF(A13=1,1,Inputs!$B$70),1),0)+SUMPRODUCT(('Scripted events'!$B$5:$B$60=A13)*'Scripted events'!$K$5:$K$60*'Scripted events'!$G$5:$G$60)))</f>
        <v>0.77039740909006</v>
      </c>
      <c r="AT13" s="4" t="n">
        <f aca="false">IF(AN13&gt;=Inputs!H45,1,0)</f>
        <v>1</v>
      </c>
      <c r="AU13" s="4" t="n">
        <f aca="false">IF(AR13&gt;=Inputs!F45,1,0)</f>
        <v>0</v>
      </c>
      <c r="AV13" s="4" t="n">
        <f aca="false">IF(AS13&gt;=Inputs!G45,1,0)</f>
        <v>1</v>
      </c>
      <c r="AW13" s="4" t="n">
        <f aca="false">AT13+AU13+AV13</f>
        <v>2</v>
      </c>
      <c r="AX13" s="5" t="str">
        <f aca="false">IF(AW13&gt;=2,"Pass","Replay")</f>
        <v>Pass</v>
      </c>
      <c r="AY13" s="6" t="n">
        <f aca="false">IF(AW13=3,Inputs!$B$16,Inputs!$B$15)*I13</f>
        <v>704868.58800724</v>
      </c>
      <c r="AZ13" s="6" t="n">
        <f aca="false">MAX(0,J13+AM13-I13-AY13)</f>
        <v>2092680.54117878</v>
      </c>
      <c r="BA13" s="30" t="n">
        <f aca="false">Inputs!$B$22*V13+(1-Inputs!$B$22)*(AR13+AS13)/2+SUMPRODUCT(('Scripted events'!$B$5:$B$60=A13)*'Scripted events'!$K$5:$K$60*'Scripted events'!$H$5:$H$60)</f>
        <v>0.733241865880591</v>
      </c>
      <c r="BB13" s="6" t="n">
        <f aca="false">IF(Inputs!$B$66="Ignore",IF(Inputs!$B$67="Fined",1,IF(Inputs!$B$67="Not fined",0,Inputs!$B$65*IF(A13=1,1,Inputs!$B$70)))*IF(Inputs!$B$63="Yes",Inputs!$B$64*G13,Inputs!$B$62),0)</f>
        <v>41250</v>
      </c>
      <c r="BC13" s="6" t="n">
        <f aca="false">SUMPRODUCT(('Scripted events'!$B$5:$B$60=A13)*'Scripted events'!$K$5:$K$60*'Scripted events'!$E$5:$E$60)*G13</f>
        <v>0</v>
      </c>
    </row>
    <row r="14" customFormat="false" ht="15" hidden="false" customHeight="false" outlineLevel="0" collapsed="false">
      <c r="A14" s="4" t="n">
        <f aca="false">Inputs!A46</f>
        <v>10</v>
      </c>
      <c r="B14" s="5" t="str">
        <f aca="false">Inputs!B46</f>
        <v>Flagship</v>
      </c>
      <c r="C14" s="28" t="n">
        <f aca="false">Inputs!C46</f>
        <v>50000</v>
      </c>
      <c r="D14" s="4" t="n">
        <f aca="false">Inputs!D46</f>
        <v>4</v>
      </c>
      <c r="E14" s="6" t="n">
        <f aca="false">Inputs!E46</f>
        <v>130</v>
      </c>
      <c r="F14" s="29" t="n">
        <f aca="false">E14*(1+Inputs!$B$7*(D14-1))</f>
        <v>325</v>
      </c>
      <c r="G14" s="6" t="n">
        <f aca="false">C14*F14</f>
        <v>16250000</v>
      </c>
      <c r="H14" s="6" t="n">
        <f aca="false">AZ13</f>
        <v>2092680.54117878</v>
      </c>
      <c r="I14" s="6" t="n">
        <f aca="false">IF(Inputs!$B$13="Yes",MAX(0,Inputs!$B$14*G14-H14),0)</f>
        <v>15782319.4588212</v>
      </c>
      <c r="J14" s="6" t="n">
        <f aca="false">H14+I14</f>
        <v>17875000</v>
      </c>
      <c r="K14" s="30" t="n">
        <f aca="false">Inputs!$B$49</f>
        <v>0.75</v>
      </c>
      <c r="L14" s="30" t="n">
        <f aca="false">Inputs!$B$50</f>
        <v>0.75</v>
      </c>
      <c r="M14" s="6" t="n">
        <f aca="false">Inputs!$B$10*G14*K14^1.5*Inputs!$B$53*(1-0.1*Inputs!$B$52)</f>
        <v>8612622.64063624</v>
      </c>
      <c r="N14" s="6" t="n">
        <f aca="false">Inputs!$B$11*G14*L14</f>
        <v>3656250</v>
      </c>
      <c r="O14" s="6" t="n">
        <f aca="false">Inputs!$B$12*G14</f>
        <v>6012500</v>
      </c>
      <c r="P14" s="30" t="n">
        <f aca="false">IF(M14+N14+O14&gt;J14,MAX(0.15,MIN(1,(J14-O14)/(M14+N14))),1)</f>
        <v>0.966877752134269</v>
      </c>
      <c r="Q14" s="30" t="n">
        <f aca="false">K14*P14^0.67</f>
        <v>0.733263746472264</v>
      </c>
      <c r="R14" s="30" t="n">
        <f aca="false">L14*P14</f>
        <v>0.725158314100702</v>
      </c>
      <c r="S14" s="6" t="n">
        <f aca="false">Inputs!$B$10*G14*Q14^1.5*Inputs!$B$53*(1-0.1*Inputs!$B$52)</f>
        <v>8325950.87686328</v>
      </c>
      <c r="T14" s="6" t="n">
        <f aca="false">Inputs!$B$11*G14*R14</f>
        <v>3535146.78124092</v>
      </c>
      <c r="U14" s="6" t="n">
        <f aca="false">S14+T14+O14</f>
        <v>17873597.6581042</v>
      </c>
      <c r="V14" s="30" t="n">
        <f aca="false">BA13</f>
        <v>0.733241865880591</v>
      </c>
      <c r="W14" s="30" t="n">
        <f aca="false">MAX(0.3,1-1.1*(Inputs!$B$51/(0.6+0.6*Q14)-1))</f>
        <v>1.04226522820618</v>
      </c>
      <c r="X14" s="30" t="n">
        <f aca="false">(0.2+0.8*Q14)*(0.75+0.5*V14)*W14</f>
        <v>0.915469812577059</v>
      </c>
      <c r="Y14" s="31" t="n">
        <f aca="false">MAX(0,MIN(1,X14))</f>
        <v>0.915469812577059</v>
      </c>
      <c r="Z14" s="30" t="n">
        <f aca="false">R14*1.25</f>
        <v>0.906447892625877</v>
      </c>
      <c r="AA14" s="30" t="n">
        <f aca="false">IF(Inputs!$B$55=0,0,IF(Inputs!$B$55=1,IF(Y14&lt;0.8,0.5,0),IF(AND(Y14&lt;0.85,Z14/(Y14+0.5*(1-Y14))&gt;=0.95),1,0)))</f>
        <v>0</v>
      </c>
      <c r="AB14" s="30" t="n">
        <f aca="false">0.5*(1-Y14)</f>
        <v>0.0422650937114704</v>
      </c>
      <c r="AC14" s="31" t="n">
        <f aca="false">Y14+AA14*AB14</f>
        <v>0.915469812577059</v>
      </c>
      <c r="AD14" s="6" t="n">
        <f aca="false">Y14*C14*F14*Inputs!$B$51</f>
        <v>14876384.4543772</v>
      </c>
      <c r="AE14" s="6" t="n">
        <f aca="false">Y14*C14*Inputs!$B$8*F14*MIN(1,Z14/MAX(Y14,0.0001))^0.5+AA14*AB14*C14*Inputs!$B$8*F14*MIN(1,Z14/MAX(AC14,0.0001))^0.5</f>
        <v>6661304.9367941</v>
      </c>
      <c r="AF14" s="6" t="n">
        <f aca="false">AA14*(AB14*C14*F14*Inputs!$B$51*0.6-0.1*Y14*C14*F14*Inputs!$B$51*0.4)</f>
        <v>-0</v>
      </c>
      <c r="AG14" s="6" t="n">
        <f aca="false">Inputs!$B$56*0.175*Y14*C14*(Inputs!$B$9*F14)*0.5*0.7</f>
        <v>0</v>
      </c>
      <c r="AH14" s="6" t="n">
        <f aca="false">(AD14+AE14+AF14+AG14)*Inputs!$B$19*MIN(Inputs!$B$58,Inputs!$B$18)</f>
        <v>0</v>
      </c>
      <c r="AI14" s="4" t="n">
        <f aca="false">IF(Inputs!$B$57=0,3,IF(Inputs!$B$57=1,IF(MAX(0,MIN(1,X14))&gt;=Inputs!$C$26,2,1),IF(MAX(0,MIN(1,X14))-0.07&gt;=Inputs!$C$27,3,IF(MAX(0,MIN(1,X14))-0.07&gt;=Inputs!$C$26,2,1))))</f>
        <v>2</v>
      </c>
      <c r="AJ14" s="31" t="n">
        <f aca="false">INDEX(Inputs!$C$25:$C$27,AI14)</f>
        <v>0.65</v>
      </c>
      <c r="AK14" s="6" t="n">
        <f aca="false">IF(Inputs!$B$23="No",0,IF(IF(Inputs!$B$20="Yes",AC14,Y14)&gt;=AJ14,INDEX(Inputs!$B$25:$B$27,AI14)*G14,0))</f>
        <v>0</v>
      </c>
      <c r="AL14" s="6" t="n">
        <f aca="false">AD14+AE14+AF14+AG14+AH14+AK14</f>
        <v>21537689.3911713</v>
      </c>
      <c r="AM14" s="7" t="n">
        <f aca="false">AL14-U14-BB14-BC14</f>
        <v>3562529.23306711</v>
      </c>
      <c r="AN14" s="8" t="n">
        <f aca="false">AM14/IF(Inputs!$B$17="Planned spend",U14,J14)</f>
        <v>0.199317971748782</v>
      </c>
      <c r="AO14" s="30" t="n">
        <f aca="false">MIN(1,Z14/MAX(AC14,0.01))</f>
        <v>0.99014503828828</v>
      </c>
      <c r="AP14" s="30" t="n">
        <f aca="false">MAX(0,MIN(1,1-2*MAX(0,Inputs!$B$51/(0.6+0.6*Q14)-1)))</f>
        <v>1</v>
      </c>
      <c r="AQ14" s="22" t="n">
        <f aca="false">0.09*(1-0.7*Inputs!$B$54)</f>
        <v>0.0585</v>
      </c>
      <c r="AR14" s="9" t="n">
        <f aca="false">MAX(0,MIN(1,0.35*AO14+0.3*Q14+0.08*AP14+0.15*V14-AQ14+Inputs!$B$59*(A14-1)-IF(Inputs!$B$66="Turn down",Inputs!$B$68*IF(Inputs!$B$67="Expected",IF(A14=1,1,Inputs!$B$70),1),0)+SUMPRODUCT(('Scripted events'!$B$5:$B$60=A14)*'Scripted events'!$K$5:$K$60*'Scripted events'!$F$5:$F$60)))</f>
        <v>0.752016167224666</v>
      </c>
      <c r="AS14" s="9" t="n">
        <f aca="false">MAX(0,MIN(1,0.25+0.4*MAX(0,MIN(1,(Inputs!$B$53-0.8)/0.4))+0.2*MAX(0,MIN(1,R14/0.8))+0.1*AC14+Inputs!$B$59*(A14-1)-IF(Inputs!$B$66="Turn down",Inputs!$B$69*IF(Inputs!$B$67="Expected",IF(A14=1,1,Inputs!$B$70),1),0)+SUMPRODUCT(('Scripted events'!$B$5:$B$60=A14)*'Scripted events'!$K$5:$K$60*'Scripted events'!$G$5:$G$60)))</f>
        <v>0.776836559782881</v>
      </c>
      <c r="AT14" s="4" t="n">
        <f aca="false">IF(AN14&gt;=Inputs!H46,1,0)</f>
        <v>0</v>
      </c>
      <c r="AU14" s="4" t="n">
        <f aca="false">IF(AR14&gt;=Inputs!F46,1,0)</f>
        <v>0</v>
      </c>
      <c r="AV14" s="4" t="n">
        <f aca="false">IF(AS14&gt;=Inputs!G46,1,0)</f>
        <v>1</v>
      </c>
      <c r="AW14" s="4" t="n">
        <f aca="false">AT14+AU14+AV14</f>
        <v>1</v>
      </c>
      <c r="AX14" s="5" t="str">
        <f aca="false">IF(AW14&gt;=2,"Pass","Replay")</f>
        <v>Replay</v>
      </c>
      <c r="AY14" s="6" t="n">
        <f aca="false">IF(AW14=3,Inputs!$B$16,Inputs!$B$15)*I14</f>
        <v>1893878.33505855</v>
      </c>
      <c r="AZ14" s="6" t="n">
        <f aca="false">MAX(0,J14+AM14-I14-AY14)</f>
        <v>3761331.43918735</v>
      </c>
      <c r="BA14" s="30" t="n">
        <f aca="false">Inputs!$B$22*V14+(1-Inputs!$B$22)*(AR14+AS14)/2+SUMPRODUCT(('Scripted events'!$B$5:$B$60=A14)*'Scripted events'!$K$5:$K$60*'Scripted events'!$H$5:$H$60)</f>
        <v>0.742597215167546</v>
      </c>
      <c r="BB14" s="6" t="n">
        <f aca="false">IF(Inputs!$B$66="Ignore",IF(Inputs!$B$67="Fined",1,IF(Inputs!$B$67="Not fined",0,Inputs!$B$65*IF(A14=1,1,Inputs!$B$70)))*IF(Inputs!$B$63="Yes",Inputs!$B$64*G14,Inputs!$B$62),0)</f>
        <v>101562.5</v>
      </c>
      <c r="BC14" s="6" t="n">
        <f aca="false">SUMPRODUCT(('Scripted events'!$B$5:$B$60=A14)*'Scripted events'!$K$5:$K$60*'Scripted events'!$E$5:$E$60)*G14</f>
        <v>0</v>
      </c>
    </row>
  </sheetData>
  <conditionalFormatting sqref="AX5:AX14">
    <cfRule type="cellIs" priority="2" operator="equal" aboveAverage="0" equalAverage="0" bottom="0" percent="0" rank="0" text="" dxfId="0">
      <formula>"Pass"</formula>
    </cfRule>
    <cfRule type="cellIs" priority="3" operator="equal" aboveAverage="0" equalAverage="0" bottom="0" percent="0" rank="0" text="" dxfId="1">
      <formula>"Replay"</formula>
    </cfRule>
  </conditionalFormatting>
  <conditionalFormatting sqref="AT5:AT14">
    <cfRule type="cellIs" priority="4" operator="equal" aboveAverage="0" equalAverage="0" bottom="0" percent="0" rank="0" text="" dxfId="0">
      <formula>1</formula>
    </cfRule>
    <cfRule type="cellIs" priority="5" operator="equal" aboveAverage="0" equalAverage="0" bottom="0" percent="0" rank="0" text="" dxfId="1">
      <formula>0</formula>
    </cfRule>
  </conditionalFormatting>
  <conditionalFormatting sqref="AU5:AU14">
    <cfRule type="cellIs" priority="6" operator="equal" aboveAverage="0" equalAverage="0" bottom="0" percent="0" rank="0" text="" dxfId="0">
      <formula>1</formula>
    </cfRule>
    <cfRule type="cellIs" priority="7" operator="equal" aboveAverage="0" equalAverage="0" bottom="0" percent="0" rank="0" text="" dxfId="1">
      <formula>0</formula>
    </cfRule>
  </conditionalFormatting>
  <conditionalFormatting sqref="AV5:AV14">
    <cfRule type="cellIs" priority="8" operator="equal" aboveAverage="0" equalAverage="0" bottom="0" percent="0" rank="0" text="" dxfId="0">
      <formula>1</formula>
    </cfRule>
    <cfRule type="cellIs" priority="9"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26.85" hidden="false" customHeight="false" outlineLevel="0" collapsed="false">
      <c r="A1" s="2" t="s">
        <v>181</v>
      </c>
      <c r="B1" s="32" t="s">
        <v>182</v>
      </c>
    </row>
    <row r="2" customFormat="false" ht="26.85" hidden="false" customHeight="false" outlineLevel="0" collapsed="false">
      <c r="A2" s="2" t="s">
        <v>183</v>
      </c>
      <c r="B2" s="32" t="s">
        <v>184</v>
      </c>
    </row>
    <row r="3" customFormat="false" ht="26.85" hidden="false" customHeight="false" outlineLevel="0" collapsed="false">
      <c r="A3" s="2" t="s">
        <v>185</v>
      </c>
      <c r="B3" s="32" t="s">
        <v>186</v>
      </c>
    </row>
    <row r="4" customFormat="false" ht="26.85" hidden="false" customHeight="false" outlineLevel="0" collapsed="false">
      <c r="A4" s="2" t="s">
        <v>187</v>
      </c>
      <c r="B4" s="32" t="s">
        <v>188</v>
      </c>
    </row>
    <row r="5" customFormat="false" ht="15" hidden="false" customHeight="false" outlineLevel="0" collapsed="false">
      <c r="A5" s="2" t="s">
        <v>189</v>
      </c>
      <c r="B5" s="32" t="s">
        <v>190</v>
      </c>
    </row>
    <row r="6" customFormat="false" ht="26.85" hidden="false" customHeight="false" outlineLevel="0" collapsed="false">
      <c r="A6" s="2" t="s">
        <v>137</v>
      </c>
      <c r="B6" s="32" t="s">
        <v>191</v>
      </c>
    </row>
    <row r="7" customFormat="false" ht="39.55" hidden="false" customHeight="false" outlineLevel="0" collapsed="false">
      <c r="A7" s="2" t="s">
        <v>192</v>
      </c>
      <c r="B7" s="32" t="s">
        <v>193</v>
      </c>
    </row>
    <row r="8" customFormat="false" ht="26.85" hidden="false" customHeight="false" outlineLevel="0" collapsed="false">
      <c r="A8" s="2" t="s">
        <v>194</v>
      </c>
      <c r="B8" s="32" t="s">
        <v>195</v>
      </c>
    </row>
    <row r="9" customFormat="false" ht="39.55" hidden="false" customHeight="false" outlineLevel="0" collapsed="false">
      <c r="A9" s="2" t="s">
        <v>196</v>
      </c>
      <c r="B9" s="32" t="s">
        <v>197</v>
      </c>
    </row>
    <row r="10" customFormat="false" ht="15" hidden="false" customHeight="false" outlineLevel="0" collapsed="false">
      <c r="A10" s="2" t="s">
        <v>198</v>
      </c>
      <c r="B10" s="32"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4"/>
    <col collapsed="false" customWidth="true" hidden="false" outlineLevel="0" max="4" min="4" style="0" width="46"/>
    <col collapsed="false" customWidth="true" hidden="false" outlineLevel="0" max="11" min="5" style="0" width="14"/>
  </cols>
  <sheetData>
    <row r="1" customFormat="false" ht="17.35" hidden="false" customHeight="false" outlineLevel="0" collapsed="false">
      <c r="A1" s="1" t="s">
        <v>200</v>
      </c>
    </row>
    <row r="2" customFormat="false" ht="15" hidden="false" customHeight="false" outlineLevel="0" collapsed="false">
      <c r="A2" s="11" t="s">
        <v>201</v>
      </c>
    </row>
    <row r="3" customFormat="false" ht="15" hidden="false" customHeight="false" outlineLevel="0" collapsed="false">
      <c r="A3" s="2" t="s">
        <v>202</v>
      </c>
      <c r="B3" s="14" t="s">
        <v>123</v>
      </c>
    </row>
    <row r="4" customFormat="false" ht="48" hidden="false" customHeight="true" outlineLevel="0" collapsed="false">
      <c r="A4" s="3" t="s">
        <v>203</v>
      </c>
      <c r="B4" s="3" t="s">
        <v>3</v>
      </c>
      <c r="C4" s="3" t="s">
        <v>204</v>
      </c>
      <c r="D4" s="3" t="s">
        <v>205</v>
      </c>
      <c r="E4" s="3" t="s">
        <v>206</v>
      </c>
      <c r="F4" s="3" t="s">
        <v>207</v>
      </c>
      <c r="G4" s="3" t="s">
        <v>208</v>
      </c>
      <c r="H4" s="3" t="s">
        <v>209</v>
      </c>
      <c r="I4" s="3" t="s">
        <v>210</v>
      </c>
      <c r="J4" s="3" t="s">
        <v>211</v>
      </c>
      <c r="K4" s="3" t="s">
        <v>212</v>
      </c>
    </row>
    <row r="5" customFormat="false" ht="15" hidden="false" customHeight="false" outlineLevel="0" collapsed="false">
      <c r="A5" s="11" t="s">
        <v>213</v>
      </c>
      <c r="B5" s="11" t="n">
        <v>1</v>
      </c>
      <c r="C5" s="11" t="s">
        <v>214</v>
      </c>
      <c r="D5" s="11" t="s">
        <v>215</v>
      </c>
      <c r="E5" s="33" t="n">
        <v>0.036</v>
      </c>
      <c r="F5" s="34" t="n">
        <v>0</v>
      </c>
      <c r="G5" s="34" t="n">
        <v>0</v>
      </c>
      <c r="H5" s="34" t="n">
        <v>0</v>
      </c>
      <c r="I5" s="11" t="n">
        <f aca="false">IF(INDEX($B$44:$B$53,MATCH(A5,$A$44:$A$53,0))=C5,1,0)</f>
        <v>1</v>
      </c>
      <c r="J5" s="18" t="n">
        <v>1</v>
      </c>
      <c r="K5" s="30" t="n">
        <f aca="false">I5*IF($B$3="All happen",1,J5)</f>
        <v>1</v>
      </c>
    </row>
    <row r="6" customFormat="false" ht="15" hidden="false" customHeight="false" outlineLevel="0" collapsed="false">
      <c r="A6" s="11" t="s">
        <v>213</v>
      </c>
      <c r="B6" s="11" t="n">
        <v>1</v>
      </c>
      <c r="C6" s="11" t="s">
        <v>216</v>
      </c>
      <c r="D6" s="11" t="s">
        <v>217</v>
      </c>
      <c r="E6" s="33" t="n">
        <v>0.005</v>
      </c>
      <c r="F6" s="34" t="n">
        <v>-0.02</v>
      </c>
      <c r="G6" s="34" t="n">
        <v>0</v>
      </c>
      <c r="H6" s="34" t="n">
        <v>0</v>
      </c>
      <c r="I6" s="11" t="n">
        <f aca="false">IF(INDEX($B$44:$B$53,MATCH(A6,$A$44:$A$53,0))=C6,1,0)</f>
        <v>0</v>
      </c>
      <c r="J6" s="18" t="n">
        <v>1</v>
      </c>
      <c r="K6" s="30" t="n">
        <f aca="false">I6*IF($B$3="All happen",1,J6)</f>
        <v>0</v>
      </c>
    </row>
    <row r="7" customFormat="false" ht="15" hidden="false" customHeight="false" outlineLevel="0" collapsed="false">
      <c r="A7" s="11" t="s">
        <v>213</v>
      </c>
      <c r="B7" s="11" t="n">
        <v>1</v>
      </c>
      <c r="C7" s="11" t="s">
        <v>218</v>
      </c>
      <c r="D7" s="11" t="s">
        <v>219</v>
      </c>
      <c r="E7" s="33" t="n">
        <v>0</v>
      </c>
      <c r="F7" s="34" t="n">
        <v>-0.05</v>
      </c>
      <c r="G7" s="34" t="n">
        <v>0</v>
      </c>
      <c r="H7" s="34" t="n">
        <v>0</v>
      </c>
      <c r="I7" s="11" t="n">
        <f aca="false">IF(INDEX($B$44:$B$53,MATCH(A7,$A$44:$A$53,0))=C7,1,0)</f>
        <v>0</v>
      </c>
      <c r="J7" s="18" t="n">
        <v>1</v>
      </c>
      <c r="K7" s="30" t="n">
        <f aca="false">I7*IF($B$3="All happen",1,J7)</f>
        <v>0</v>
      </c>
    </row>
    <row r="8" customFormat="false" ht="15" hidden="false" customHeight="false" outlineLevel="0" collapsed="false">
      <c r="A8" s="11" t="s">
        <v>220</v>
      </c>
      <c r="B8" s="11" t="n">
        <v>1</v>
      </c>
      <c r="C8" s="11" t="s">
        <v>214</v>
      </c>
      <c r="D8" s="11" t="s">
        <v>221</v>
      </c>
      <c r="E8" s="33" t="n">
        <v>0.005</v>
      </c>
      <c r="F8" s="34" t="n">
        <v>0</v>
      </c>
      <c r="G8" s="34" t="n">
        <v>0</v>
      </c>
      <c r="H8" s="34" t="n">
        <v>0</v>
      </c>
      <c r="I8" s="11" t="n">
        <f aca="false">IF(INDEX($B$44:$B$53,MATCH(A8,$A$44:$A$53,0))=C8,1,0)</f>
        <v>1</v>
      </c>
      <c r="J8" s="18" t="n">
        <v>1</v>
      </c>
      <c r="K8" s="30" t="n">
        <f aca="false">I8*IF($B$3="All happen",1,J8)</f>
        <v>1</v>
      </c>
    </row>
    <row r="9" customFormat="false" ht="15" hidden="false" customHeight="false" outlineLevel="0" collapsed="false">
      <c r="A9" s="11" t="s">
        <v>220</v>
      </c>
      <c r="B9" s="11" t="n">
        <v>1</v>
      </c>
      <c r="C9" s="11" t="s">
        <v>216</v>
      </c>
      <c r="D9" s="11" t="s">
        <v>222</v>
      </c>
      <c r="E9" s="33" t="n">
        <v>0</v>
      </c>
      <c r="F9" s="34" t="n">
        <v>-0.03</v>
      </c>
      <c r="G9" s="34" t="n">
        <v>0</v>
      </c>
      <c r="H9" s="34" t="n">
        <v>0</v>
      </c>
      <c r="I9" s="11" t="n">
        <f aca="false">IF(INDEX($B$44:$B$53,MATCH(A9,$A$44:$A$53,0))=C9,1,0)</f>
        <v>0</v>
      </c>
      <c r="J9" s="18" t="n">
        <v>1</v>
      </c>
      <c r="K9" s="30" t="n">
        <f aca="false">I9*IF($B$3="All happen",1,J9)</f>
        <v>0</v>
      </c>
    </row>
    <row r="10" customFormat="false" ht="15" hidden="false" customHeight="false" outlineLevel="0" collapsed="false">
      <c r="A10" s="11" t="s">
        <v>220</v>
      </c>
      <c r="B10" s="11" t="n">
        <v>1</v>
      </c>
      <c r="C10" s="11" t="s">
        <v>218</v>
      </c>
      <c r="D10" s="11" t="s">
        <v>223</v>
      </c>
      <c r="E10" s="33" t="n">
        <v>0</v>
      </c>
      <c r="F10" s="34" t="n">
        <v>-0.01</v>
      </c>
      <c r="G10" s="34" t="n">
        <v>-0.05</v>
      </c>
      <c r="H10" s="34" t="n">
        <v>0</v>
      </c>
      <c r="I10" s="11" t="n">
        <f aca="false">IF(INDEX($B$44:$B$53,MATCH(A10,$A$44:$A$53,0))=C10,1,0)</f>
        <v>0</v>
      </c>
      <c r="J10" s="18" t="n">
        <v>1</v>
      </c>
      <c r="K10" s="30" t="n">
        <f aca="false">I10*IF($B$3="All happen",1,J10)</f>
        <v>0</v>
      </c>
    </row>
    <row r="11" customFormat="false" ht="15" hidden="false" customHeight="false" outlineLevel="0" collapsed="false">
      <c r="A11" s="11" t="s">
        <v>224</v>
      </c>
      <c r="B11" s="11" t="n">
        <v>2</v>
      </c>
      <c r="C11" s="11" t="s">
        <v>214</v>
      </c>
      <c r="D11" s="11" t="s">
        <v>225</v>
      </c>
      <c r="E11" s="33" t="n">
        <v>0.03</v>
      </c>
      <c r="F11" s="34" t="n">
        <v>0</v>
      </c>
      <c r="G11" s="34" t="n">
        <v>0</v>
      </c>
      <c r="H11" s="34" t="n">
        <v>0</v>
      </c>
      <c r="I11" s="11" t="n">
        <f aca="false">IF(INDEX($B$44:$B$53,MATCH(A11,$A$44:$A$53,0))=C11,1,0)</f>
        <v>1</v>
      </c>
      <c r="J11" s="18" t="n">
        <v>1</v>
      </c>
      <c r="K11" s="30" t="n">
        <f aca="false">I11*IF($B$3="All happen",1,J11)</f>
        <v>1</v>
      </c>
    </row>
    <row r="12" customFormat="false" ht="15" hidden="false" customHeight="false" outlineLevel="0" collapsed="false">
      <c r="A12" s="11" t="s">
        <v>224</v>
      </c>
      <c r="B12" s="11" t="n">
        <v>2</v>
      </c>
      <c r="C12" s="11" t="s">
        <v>216</v>
      </c>
      <c r="D12" s="11" t="s">
        <v>226</v>
      </c>
      <c r="E12" s="33" t="n">
        <v>0</v>
      </c>
      <c r="F12" s="34" t="n">
        <v>0</v>
      </c>
      <c r="G12" s="34" t="n">
        <v>-0.04</v>
      </c>
      <c r="H12" s="34" t="n">
        <v>0</v>
      </c>
      <c r="I12" s="11" t="n">
        <f aca="false">IF(INDEX($B$44:$B$53,MATCH(A12,$A$44:$A$53,0))=C12,1,0)</f>
        <v>0</v>
      </c>
      <c r="J12" s="18" t="n">
        <v>1</v>
      </c>
      <c r="K12" s="30" t="n">
        <f aca="false">I12*IF($B$3="All happen",1,J12)</f>
        <v>0</v>
      </c>
    </row>
    <row r="13" customFormat="false" ht="15" hidden="false" customHeight="false" outlineLevel="0" collapsed="false">
      <c r="A13" s="11" t="s">
        <v>224</v>
      </c>
      <c r="B13" s="11" t="n">
        <v>2</v>
      </c>
      <c r="C13" s="11" t="s">
        <v>218</v>
      </c>
      <c r="D13" s="11" t="s">
        <v>227</v>
      </c>
      <c r="E13" s="33" t="n">
        <v>0</v>
      </c>
      <c r="F13" s="34" t="n">
        <v>-0.04</v>
      </c>
      <c r="G13" s="34" t="n">
        <v>-0.04</v>
      </c>
      <c r="H13" s="34" t="n">
        <v>0</v>
      </c>
      <c r="I13" s="11" t="n">
        <f aca="false">IF(INDEX($B$44:$B$53,MATCH(A13,$A$44:$A$53,0))=C13,1,0)</f>
        <v>0</v>
      </c>
      <c r="J13" s="18" t="n">
        <v>1</v>
      </c>
      <c r="K13" s="30" t="n">
        <f aca="false">I13*IF($B$3="All happen",1,J13)</f>
        <v>0</v>
      </c>
    </row>
    <row r="14" customFormat="false" ht="15" hidden="false" customHeight="false" outlineLevel="0" collapsed="false">
      <c r="A14" s="11" t="s">
        <v>228</v>
      </c>
      <c r="B14" s="11" t="n">
        <v>3</v>
      </c>
      <c r="C14" s="11" t="s">
        <v>214</v>
      </c>
      <c r="D14" s="11" t="s">
        <v>229</v>
      </c>
      <c r="E14" s="33" t="n">
        <v>0.01875</v>
      </c>
      <c r="F14" s="34" t="n">
        <v>0</v>
      </c>
      <c r="G14" s="34" t="n">
        <v>-0.03</v>
      </c>
      <c r="H14" s="34" t="n">
        <v>0</v>
      </c>
      <c r="I14" s="11" t="n">
        <f aca="false">IF(INDEX($B$44:$B$53,MATCH(A14,$A$44:$A$53,0))=C14,1,0)</f>
        <v>1</v>
      </c>
      <c r="J14" s="18" t="n">
        <v>1</v>
      </c>
      <c r="K14" s="30" t="n">
        <f aca="false">I14*IF($B$3="All happen",1,J14)</f>
        <v>1</v>
      </c>
    </row>
    <row r="15" customFormat="false" ht="15" hidden="false" customHeight="false" outlineLevel="0" collapsed="false">
      <c r="A15" s="11" t="s">
        <v>228</v>
      </c>
      <c r="B15" s="11" t="n">
        <v>3</v>
      </c>
      <c r="C15" s="11" t="s">
        <v>216</v>
      </c>
      <c r="D15" s="11" t="s">
        <v>230</v>
      </c>
      <c r="E15" s="33" t="n">
        <v>0</v>
      </c>
      <c r="F15" s="34" t="n">
        <v>-0.05</v>
      </c>
      <c r="G15" s="34" t="n">
        <v>0</v>
      </c>
      <c r="H15" s="34" t="n">
        <v>0</v>
      </c>
      <c r="I15" s="11" t="n">
        <f aca="false">IF(INDEX($B$44:$B$53,MATCH(A15,$A$44:$A$53,0))=C15,1,0)</f>
        <v>0</v>
      </c>
      <c r="J15" s="18" t="n">
        <v>1</v>
      </c>
      <c r="K15" s="30" t="n">
        <f aca="false">I15*IF($B$3="All happen",1,J15)</f>
        <v>0</v>
      </c>
    </row>
    <row r="16" customFormat="false" ht="15" hidden="false" customHeight="false" outlineLevel="0" collapsed="false">
      <c r="A16" s="11" t="s">
        <v>228</v>
      </c>
      <c r="B16" s="11" t="n">
        <v>3</v>
      </c>
      <c r="C16" s="11" t="s">
        <v>218</v>
      </c>
      <c r="D16" s="11" t="s">
        <v>219</v>
      </c>
      <c r="E16" s="33" t="n">
        <v>0</v>
      </c>
      <c r="F16" s="34" t="n">
        <v>-0.1</v>
      </c>
      <c r="G16" s="34" t="n">
        <v>0</v>
      </c>
      <c r="H16" s="34" t="n">
        <v>-0.05</v>
      </c>
      <c r="I16" s="11" t="n">
        <f aca="false">IF(INDEX($B$44:$B$53,MATCH(A16,$A$44:$A$53,0))=C16,1,0)</f>
        <v>0</v>
      </c>
      <c r="J16" s="18" t="n">
        <v>1</v>
      </c>
      <c r="K16" s="30" t="n">
        <f aca="false">I16*IF($B$3="All happen",1,J16)</f>
        <v>0</v>
      </c>
    </row>
    <row r="17" customFormat="false" ht="15" hidden="false" customHeight="false" outlineLevel="0" collapsed="false">
      <c r="A17" s="11" t="s">
        <v>231</v>
      </c>
      <c r="B17" s="11" t="n">
        <v>2</v>
      </c>
      <c r="C17" s="11" t="s">
        <v>214</v>
      </c>
      <c r="D17" s="11" t="s">
        <v>232</v>
      </c>
      <c r="E17" s="33" t="n">
        <v>0.0075</v>
      </c>
      <c r="F17" s="34" t="n">
        <v>-0.01</v>
      </c>
      <c r="G17" s="34" t="n">
        <v>0</v>
      </c>
      <c r="H17" s="34" t="n">
        <v>0</v>
      </c>
      <c r="I17" s="11" t="n">
        <f aca="false">IF(INDEX($B$44:$B$53,MATCH(A17,$A$44:$A$53,0))=C17,1,0)</f>
        <v>1</v>
      </c>
      <c r="J17" s="18" t="n">
        <v>0.5</v>
      </c>
      <c r="K17" s="30" t="n">
        <f aca="false">I17*IF($B$3="All happen",1,J17)</f>
        <v>0.5</v>
      </c>
    </row>
    <row r="18" customFormat="false" ht="15" hidden="false" customHeight="false" outlineLevel="0" collapsed="false">
      <c r="A18" s="11" t="s">
        <v>231</v>
      </c>
      <c r="B18" s="11" t="n">
        <v>2</v>
      </c>
      <c r="C18" s="11" t="s">
        <v>216</v>
      </c>
      <c r="D18" s="11" t="s">
        <v>233</v>
      </c>
      <c r="E18" s="33" t="n">
        <v>0.01</v>
      </c>
      <c r="F18" s="34" t="n">
        <v>0</v>
      </c>
      <c r="G18" s="34" t="n">
        <v>0</v>
      </c>
      <c r="H18" s="34" t="n">
        <v>0</v>
      </c>
      <c r="I18" s="11" t="n">
        <f aca="false">IF(INDEX($B$44:$B$53,MATCH(A18,$A$44:$A$53,0))=C18,1,0)</f>
        <v>0</v>
      </c>
      <c r="J18" s="18" t="n">
        <v>0.5</v>
      </c>
      <c r="K18" s="30" t="n">
        <f aca="false">I18*IF($B$3="All happen",1,J18)</f>
        <v>0</v>
      </c>
    </row>
    <row r="19" customFormat="false" ht="15" hidden="false" customHeight="false" outlineLevel="0" collapsed="false">
      <c r="A19" s="11" t="s">
        <v>231</v>
      </c>
      <c r="B19" s="11" t="n">
        <v>2</v>
      </c>
      <c r="C19" s="11" t="s">
        <v>218</v>
      </c>
      <c r="D19" s="11" t="s">
        <v>234</v>
      </c>
      <c r="E19" s="33" t="n">
        <v>0.005</v>
      </c>
      <c r="F19" s="34" t="n">
        <v>-0.04</v>
      </c>
      <c r="G19" s="34" t="n">
        <v>0</v>
      </c>
      <c r="H19" s="34" t="n">
        <v>0</v>
      </c>
      <c r="I19" s="11" t="n">
        <f aca="false">IF(INDEX($B$44:$B$53,MATCH(A19,$A$44:$A$53,0))=C19,1,0)</f>
        <v>0</v>
      </c>
      <c r="J19" s="18" t="n">
        <v>0.5</v>
      </c>
      <c r="K19" s="30" t="n">
        <f aca="false">I19*IF($B$3="All happen",1,J19)</f>
        <v>0</v>
      </c>
    </row>
    <row r="20" customFormat="false" ht="15" hidden="false" customHeight="false" outlineLevel="0" collapsed="false">
      <c r="A20" s="11" t="s">
        <v>235</v>
      </c>
      <c r="B20" s="11" t="n">
        <v>2</v>
      </c>
      <c r="C20" s="11" t="s">
        <v>214</v>
      </c>
      <c r="D20" s="11" t="s">
        <v>236</v>
      </c>
      <c r="E20" s="33" t="n">
        <v>0.0075</v>
      </c>
      <c r="F20" s="34" t="n">
        <v>0</v>
      </c>
      <c r="G20" s="34" t="n">
        <v>0</v>
      </c>
      <c r="H20" s="34" t="n">
        <v>0</v>
      </c>
      <c r="I20" s="11" t="n">
        <f aca="false">IF(INDEX($B$44:$B$53,MATCH(A20,$A$44:$A$53,0))=C20,1,0)</f>
        <v>1</v>
      </c>
      <c r="J20" s="18" t="n">
        <v>0.3</v>
      </c>
      <c r="K20" s="30" t="n">
        <f aca="false">I20*IF($B$3="All happen",1,J20)</f>
        <v>0.3</v>
      </c>
    </row>
    <row r="21" customFormat="false" ht="15" hidden="false" customHeight="false" outlineLevel="0" collapsed="false">
      <c r="A21" s="11" t="s">
        <v>235</v>
      </c>
      <c r="B21" s="11" t="n">
        <v>2</v>
      </c>
      <c r="C21" s="11" t="s">
        <v>216</v>
      </c>
      <c r="D21" s="11" t="s">
        <v>237</v>
      </c>
      <c r="E21" s="33" t="n">
        <v>0</v>
      </c>
      <c r="F21" s="34" t="n">
        <v>-0.03</v>
      </c>
      <c r="G21" s="34" t="n">
        <v>0</v>
      </c>
      <c r="H21" s="34" t="n">
        <v>0</v>
      </c>
      <c r="I21" s="11" t="n">
        <f aca="false">IF(INDEX($B$44:$B$53,MATCH(A21,$A$44:$A$53,0))=C21,1,0)</f>
        <v>0</v>
      </c>
      <c r="J21" s="18" t="n">
        <v>0.3</v>
      </c>
      <c r="K21" s="30" t="n">
        <f aca="false">I21*IF($B$3="All happen",1,J21)</f>
        <v>0</v>
      </c>
    </row>
    <row r="22" customFormat="false" ht="15" hidden="false" customHeight="false" outlineLevel="0" collapsed="false">
      <c r="A22" s="11" t="s">
        <v>235</v>
      </c>
      <c r="B22" s="11" t="n">
        <v>2</v>
      </c>
      <c r="C22" s="11" t="s">
        <v>218</v>
      </c>
      <c r="D22" s="11" t="s">
        <v>238</v>
      </c>
      <c r="E22" s="33" t="n">
        <v>0</v>
      </c>
      <c r="F22" s="34" t="n">
        <v>-0.01</v>
      </c>
      <c r="G22" s="34" t="n">
        <v>-0.03</v>
      </c>
      <c r="H22" s="34" t="n">
        <v>0</v>
      </c>
      <c r="I22" s="11" t="n">
        <f aca="false">IF(INDEX($B$44:$B$53,MATCH(A22,$A$44:$A$53,0))=C22,1,0)</f>
        <v>0</v>
      </c>
      <c r="J22" s="18" t="n">
        <v>0.3</v>
      </c>
      <c r="K22" s="30" t="n">
        <f aca="false">I22*IF($B$3="All happen",1,J22)</f>
        <v>0</v>
      </c>
    </row>
    <row r="23" customFormat="false" ht="15" hidden="false" customHeight="false" outlineLevel="0" collapsed="false">
      <c r="A23" s="11" t="s">
        <v>235</v>
      </c>
      <c r="B23" s="11" t="n">
        <v>3</v>
      </c>
      <c r="C23" s="11" t="s">
        <v>214</v>
      </c>
      <c r="D23" s="11" t="s">
        <v>236</v>
      </c>
      <c r="E23" s="33" t="n">
        <v>0.0075</v>
      </c>
      <c r="F23" s="34" t="n">
        <v>0</v>
      </c>
      <c r="G23" s="34" t="n">
        <v>0</v>
      </c>
      <c r="H23" s="34" t="n">
        <v>0</v>
      </c>
      <c r="I23" s="11" t="n">
        <f aca="false">IF(INDEX($B$44:$B$53,MATCH(A23,$A$44:$A$53,0))=C23,1,0)</f>
        <v>1</v>
      </c>
      <c r="J23" s="18" t="n">
        <v>0.3</v>
      </c>
      <c r="K23" s="30" t="n">
        <f aca="false">I23*IF($B$3="All happen",1,J23)</f>
        <v>0.3</v>
      </c>
    </row>
    <row r="24" customFormat="false" ht="15" hidden="false" customHeight="false" outlineLevel="0" collapsed="false">
      <c r="A24" s="11" t="s">
        <v>235</v>
      </c>
      <c r="B24" s="11" t="n">
        <v>3</v>
      </c>
      <c r="C24" s="11" t="s">
        <v>216</v>
      </c>
      <c r="D24" s="11" t="s">
        <v>237</v>
      </c>
      <c r="E24" s="33" t="n">
        <v>0</v>
      </c>
      <c r="F24" s="34" t="n">
        <v>-0.03</v>
      </c>
      <c r="G24" s="34" t="n">
        <v>0</v>
      </c>
      <c r="H24" s="34" t="n">
        <v>0</v>
      </c>
      <c r="I24" s="11" t="n">
        <f aca="false">IF(INDEX($B$44:$B$53,MATCH(A24,$A$44:$A$53,0))=C24,1,0)</f>
        <v>0</v>
      </c>
      <c r="J24" s="18" t="n">
        <v>0.3</v>
      </c>
      <c r="K24" s="30" t="n">
        <f aca="false">I24*IF($B$3="All happen",1,J24)</f>
        <v>0</v>
      </c>
    </row>
    <row r="25" customFormat="false" ht="15" hidden="false" customHeight="false" outlineLevel="0" collapsed="false">
      <c r="A25" s="11" t="s">
        <v>235</v>
      </c>
      <c r="B25" s="11" t="n">
        <v>3</v>
      </c>
      <c r="C25" s="11" t="s">
        <v>218</v>
      </c>
      <c r="D25" s="11" t="s">
        <v>238</v>
      </c>
      <c r="E25" s="33" t="n">
        <v>0</v>
      </c>
      <c r="F25" s="34" t="n">
        <v>-0.01</v>
      </c>
      <c r="G25" s="34" t="n">
        <v>-0.03</v>
      </c>
      <c r="H25" s="34" t="n">
        <v>0</v>
      </c>
      <c r="I25" s="11" t="n">
        <f aca="false">IF(INDEX($B$44:$B$53,MATCH(A25,$A$44:$A$53,0))=C25,1,0)</f>
        <v>0</v>
      </c>
      <c r="J25" s="18" t="n">
        <v>0.3</v>
      </c>
      <c r="K25" s="30" t="n">
        <f aca="false">I25*IF($B$3="All happen",1,J25)</f>
        <v>0</v>
      </c>
    </row>
    <row r="26" customFormat="false" ht="15" hidden="false" customHeight="false" outlineLevel="0" collapsed="false">
      <c r="A26" s="11" t="s">
        <v>239</v>
      </c>
      <c r="B26" s="11" t="n">
        <v>3</v>
      </c>
      <c r="C26" s="11" t="s">
        <v>214</v>
      </c>
      <c r="D26" s="11" t="s">
        <v>240</v>
      </c>
      <c r="E26" s="33" t="n">
        <v>0.03</v>
      </c>
      <c r="F26" s="34" t="n">
        <v>0</v>
      </c>
      <c r="G26" s="34" t="n">
        <v>0</v>
      </c>
      <c r="H26" s="34" t="n">
        <v>0</v>
      </c>
      <c r="I26" s="11" t="n">
        <f aca="false">IF(INDEX($B$44:$B$53,MATCH(A26,$A$44:$A$53,0))=C26,1,0)</f>
        <v>1</v>
      </c>
      <c r="J26" s="18" t="n">
        <v>0.3</v>
      </c>
      <c r="K26" s="30" t="n">
        <f aca="false">I26*IF($B$3="All happen",1,J26)</f>
        <v>0.3</v>
      </c>
    </row>
    <row r="27" customFormat="false" ht="15" hidden="false" customHeight="false" outlineLevel="0" collapsed="false">
      <c r="A27" s="11" t="s">
        <v>239</v>
      </c>
      <c r="B27" s="11" t="n">
        <v>3</v>
      </c>
      <c r="C27" s="11" t="s">
        <v>216</v>
      </c>
      <c r="D27" s="11" t="s">
        <v>241</v>
      </c>
      <c r="E27" s="33" t="n">
        <v>0</v>
      </c>
      <c r="F27" s="34" t="n">
        <v>-0.03</v>
      </c>
      <c r="G27" s="34" t="n">
        <v>0</v>
      </c>
      <c r="H27" s="34" t="n">
        <v>0</v>
      </c>
      <c r="I27" s="11" t="n">
        <f aca="false">IF(INDEX($B$44:$B$53,MATCH(A27,$A$44:$A$53,0))=C27,1,0)</f>
        <v>0</v>
      </c>
      <c r="J27" s="18" t="n">
        <v>0.3</v>
      </c>
      <c r="K27" s="30" t="n">
        <f aca="false">I27*IF($B$3="All happen",1,J27)</f>
        <v>0</v>
      </c>
    </row>
    <row r="28" customFormat="false" ht="15" hidden="false" customHeight="false" outlineLevel="0" collapsed="false">
      <c r="A28" s="11" t="s">
        <v>239</v>
      </c>
      <c r="B28" s="11" t="n">
        <v>3</v>
      </c>
      <c r="C28" s="11" t="s">
        <v>218</v>
      </c>
      <c r="D28" s="11" t="s">
        <v>242</v>
      </c>
      <c r="E28" s="33" t="n">
        <v>0</v>
      </c>
      <c r="F28" s="34" t="n">
        <v>-0.06</v>
      </c>
      <c r="G28" s="34" t="n">
        <v>0</v>
      </c>
      <c r="H28" s="34" t="n">
        <v>-0.02</v>
      </c>
      <c r="I28" s="11" t="n">
        <f aca="false">IF(INDEX($B$44:$B$53,MATCH(A28,$A$44:$A$53,0))=C28,1,0)</f>
        <v>0</v>
      </c>
      <c r="J28" s="18" t="n">
        <v>0.3</v>
      </c>
      <c r="K28" s="30" t="n">
        <f aca="false">I28*IF($B$3="All happen",1,J28)</f>
        <v>0</v>
      </c>
    </row>
    <row r="29" customFormat="false" ht="15" hidden="false" customHeight="false" outlineLevel="0" collapsed="false">
      <c r="A29" s="11" t="s">
        <v>243</v>
      </c>
      <c r="B29" s="11" t="n">
        <v>3</v>
      </c>
      <c r="C29" s="11" t="s">
        <v>214</v>
      </c>
      <c r="D29" s="11" t="s">
        <v>244</v>
      </c>
      <c r="E29" s="33" t="n">
        <v>0</v>
      </c>
      <c r="F29" s="34" t="n">
        <v>0</v>
      </c>
      <c r="G29" s="34" t="n">
        <v>-0.03</v>
      </c>
      <c r="H29" s="34" t="n">
        <v>0</v>
      </c>
      <c r="I29" s="11" t="n">
        <f aca="false">IF(INDEX($B$44:$B$53,MATCH(A29,$A$44:$A$53,0))=C29,1,0)</f>
        <v>1</v>
      </c>
      <c r="J29" s="18" t="n">
        <v>0.5</v>
      </c>
      <c r="K29" s="30" t="n">
        <f aca="false">I29*IF($B$3="All happen",1,J29)</f>
        <v>0.5</v>
      </c>
    </row>
    <row r="30" customFormat="false" ht="15" hidden="false" customHeight="false" outlineLevel="0" collapsed="false">
      <c r="A30" s="11" t="s">
        <v>243</v>
      </c>
      <c r="B30" s="11" t="n">
        <v>3</v>
      </c>
      <c r="C30" s="11" t="s">
        <v>216</v>
      </c>
      <c r="D30" s="11" t="s">
        <v>245</v>
      </c>
      <c r="E30" s="33" t="n">
        <v>0</v>
      </c>
      <c r="F30" s="34" t="n">
        <v>-0.02</v>
      </c>
      <c r="G30" s="34" t="n">
        <v>-0.02</v>
      </c>
      <c r="H30" s="34" t="n">
        <v>0</v>
      </c>
      <c r="I30" s="11" t="n">
        <f aca="false">IF(INDEX($B$44:$B$53,MATCH(A30,$A$44:$A$53,0))=C30,1,0)</f>
        <v>0</v>
      </c>
      <c r="J30" s="18" t="n">
        <v>0.5</v>
      </c>
      <c r="K30" s="30" t="n">
        <f aca="false">I30*IF($B$3="All happen",1,J30)</f>
        <v>0</v>
      </c>
    </row>
    <row r="31" customFormat="false" ht="15" hidden="false" customHeight="false" outlineLevel="0" collapsed="false">
      <c r="A31" s="11" t="s">
        <v>243</v>
      </c>
      <c r="B31" s="11" t="n">
        <v>3</v>
      </c>
      <c r="C31" s="11" t="s">
        <v>218</v>
      </c>
      <c r="D31" s="11" t="s">
        <v>246</v>
      </c>
      <c r="E31" s="33" t="n">
        <v>0</v>
      </c>
      <c r="F31" s="34" t="n">
        <v>-0.04</v>
      </c>
      <c r="G31" s="34" t="n">
        <v>0</v>
      </c>
      <c r="H31" s="34" t="n">
        <v>0</v>
      </c>
      <c r="I31" s="11" t="n">
        <f aca="false">IF(INDEX($B$44:$B$53,MATCH(A31,$A$44:$A$53,0))=C31,1,0)</f>
        <v>0</v>
      </c>
      <c r="J31" s="18" t="n">
        <v>0.5</v>
      </c>
      <c r="K31" s="30" t="n">
        <f aca="false">I31*IF($B$3="All happen",1,J31)</f>
        <v>0</v>
      </c>
    </row>
    <row r="32" customFormat="false" ht="15" hidden="false" customHeight="false" outlineLevel="0" collapsed="false">
      <c r="A32" s="11" t="s">
        <v>247</v>
      </c>
      <c r="B32" s="11" t="n">
        <v>3</v>
      </c>
      <c r="C32" s="11" t="s">
        <v>214</v>
      </c>
      <c r="D32" s="11" t="s">
        <v>248</v>
      </c>
      <c r="E32" s="33" t="n">
        <v>0.015</v>
      </c>
      <c r="F32" s="34" t="n">
        <v>0</v>
      </c>
      <c r="G32" s="34" t="n">
        <v>0</v>
      </c>
      <c r="H32" s="34" t="n">
        <v>0</v>
      </c>
      <c r="I32" s="11" t="n">
        <f aca="false">IF(INDEX($B$44:$B$53,MATCH(A32,$A$44:$A$53,0))=C32,1,0)</f>
        <v>1</v>
      </c>
      <c r="J32" s="18" t="n">
        <v>0.4</v>
      </c>
      <c r="K32" s="30" t="n">
        <f aca="false">I32*IF($B$3="All happen",1,J32)</f>
        <v>0.4</v>
      </c>
    </row>
    <row r="33" customFormat="false" ht="15" hidden="false" customHeight="false" outlineLevel="0" collapsed="false">
      <c r="A33" s="11" t="s">
        <v>247</v>
      </c>
      <c r="B33" s="11" t="n">
        <v>3</v>
      </c>
      <c r="C33" s="11" t="s">
        <v>216</v>
      </c>
      <c r="D33" s="11" t="s">
        <v>249</v>
      </c>
      <c r="E33" s="33" t="n">
        <v>0.005</v>
      </c>
      <c r="F33" s="34" t="n">
        <v>-0.01</v>
      </c>
      <c r="G33" s="34" t="n">
        <v>0</v>
      </c>
      <c r="H33" s="34" t="n">
        <v>0</v>
      </c>
      <c r="I33" s="11" t="n">
        <f aca="false">IF(INDEX($B$44:$B$53,MATCH(A33,$A$44:$A$53,0))=C33,1,0)</f>
        <v>0</v>
      </c>
      <c r="J33" s="18" t="n">
        <v>0.4</v>
      </c>
      <c r="K33" s="30" t="n">
        <f aca="false">I33*IF($B$3="All happen",1,J33)</f>
        <v>0</v>
      </c>
    </row>
    <row r="34" customFormat="false" ht="15" hidden="false" customHeight="false" outlineLevel="0" collapsed="false">
      <c r="A34" s="11" t="s">
        <v>247</v>
      </c>
      <c r="B34" s="11" t="n">
        <v>3</v>
      </c>
      <c r="C34" s="11" t="s">
        <v>218</v>
      </c>
      <c r="D34" s="11" t="s">
        <v>219</v>
      </c>
      <c r="E34" s="33" t="n">
        <v>0</v>
      </c>
      <c r="F34" s="34" t="n">
        <v>-0.06</v>
      </c>
      <c r="G34" s="34" t="n">
        <v>0</v>
      </c>
      <c r="H34" s="34" t="n">
        <v>0</v>
      </c>
      <c r="I34" s="11" t="n">
        <f aca="false">IF(INDEX($B$44:$B$53,MATCH(A34,$A$44:$A$53,0))=C34,1,0)</f>
        <v>0</v>
      </c>
      <c r="J34" s="18" t="n">
        <v>0.4</v>
      </c>
      <c r="K34" s="30" t="n">
        <f aca="false">I34*IF($B$3="All happen",1,J34)</f>
        <v>0</v>
      </c>
    </row>
    <row r="35" customFormat="false" ht="15" hidden="false" customHeight="false" outlineLevel="0" collapsed="false">
      <c r="A35" s="11" t="s">
        <v>250</v>
      </c>
      <c r="B35" s="11" t="n">
        <v>2</v>
      </c>
      <c r="C35" s="11" t="s">
        <v>214</v>
      </c>
      <c r="D35" s="11" t="s">
        <v>251</v>
      </c>
      <c r="E35" s="33" t="n">
        <v>-0.001</v>
      </c>
      <c r="F35" s="34" t="n">
        <v>0</v>
      </c>
      <c r="G35" s="34" t="n">
        <v>0</v>
      </c>
      <c r="H35" s="34" t="n">
        <v>0</v>
      </c>
      <c r="I35" s="11" t="n">
        <f aca="false">IF(INDEX($B$44:$B$53,MATCH(A35,$A$44:$A$53,0))=C35,1,0)</f>
        <v>1</v>
      </c>
      <c r="J35" s="18" t="n">
        <v>1</v>
      </c>
      <c r="K35" s="30" t="n">
        <f aca="false">I35*IF($B$3="All happen",1,J35)</f>
        <v>1</v>
      </c>
    </row>
    <row r="36" customFormat="false" ht="15" hidden="false" customHeight="false" outlineLevel="0" collapsed="false">
      <c r="A36" s="11" t="s">
        <v>250</v>
      </c>
      <c r="B36" s="11" t="n">
        <v>2</v>
      </c>
      <c r="C36" s="11" t="s">
        <v>216</v>
      </c>
      <c r="D36" s="11" t="s">
        <v>252</v>
      </c>
      <c r="E36" s="33" t="n">
        <v>-0.004</v>
      </c>
      <c r="F36" s="34" t="n">
        <v>-0.02</v>
      </c>
      <c r="G36" s="34" t="n">
        <v>0</v>
      </c>
      <c r="H36" s="34" t="n">
        <v>0</v>
      </c>
      <c r="I36" s="11" t="n">
        <f aca="false">IF(INDEX($B$44:$B$53,MATCH(A36,$A$44:$A$53,0))=C36,1,0)</f>
        <v>0</v>
      </c>
      <c r="J36" s="18" t="n">
        <v>1</v>
      </c>
      <c r="K36" s="30" t="n">
        <f aca="false">I36*IF($B$3="All happen",1,J36)</f>
        <v>0</v>
      </c>
    </row>
    <row r="37" customFormat="false" ht="15" hidden="false" customHeight="false" outlineLevel="0" collapsed="false">
      <c r="A37" s="11" t="s">
        <v>250</v>
      </c>
      <c r="B37" s="11" t="n">
        <v>2</v>
      </c>
      <c r="C37" s="11" t="s">
        <v>218</v>
      </c>
      <c r="D37" s="11" t="s">
        <v>253</v>
      </c>
      <c r="E37" s="33" t="n">
        <v>0</v>
      </c>
      <c r="F37" s="34" t="n">
        <v>-0.01</v>
      </c>
      <c r="G37" s="34" t="n">
        <v>0</v>
      </c>
      <c r="H37" s="34" t="n">
        <v>0</v>
      </c>
      <c r="I37" s="11" t="n">
        <f aca="false">IF(INDEX($B$44:$B$53,MATCH(A37,$A$44:$A$53,0))=C37,1,0)</f>
        <v>0</v>
      </c>
      <c r="J37" s="18" t="n">
        <v>1</v>
      </c>
      <c r="K37" s="30" t="n">
        <f aca="false">I37*IF($B$3="All happen",1,J37)</f>
        <v>0</v>
      </c>
    </row>
    <row r="38" customFormat="false" ht="15" hidden="false" customHeight="false" outlineLevel="0" collapsed="false">
      <c r="A38" s="11" t="s">
        <v>250</v>
      </c>
      <c r="B38" s="11" t="n">
        <v>3</v>
      </c>
      <c r="C38" s="11" t="s">
        <v>214</v>
      </c>
      <c r="D38" s="11" t="s">
        <v>251</v>
      </c>
      <c r="E38" s="33" t="n">
        <v>-0.001</v>
      </c>
      <c r="F38" s="34" t="n">
        <v>0</v>
      </c>
      <c r="G38" s="34" t="n">
        <v>0</v>
      </c>
      <c r="H38" s="34" t="n">
        <v>0</v>
      </c>
      <c r="I38" s="11" t="n">
        <f aca="false">IF(INDEX($B$44:$B$53,MATCH(A38,$A$44:$A$53,0))=C38,1,0)</f>
        <v>1</v>
      </c>
      <c r="J38" s="18" t="n">
        <v>0.5</v>
      </c>
      <c r="K38" s="30" t="n">
        <f aca="false">I38*IF($B$3="All happen",1,J38)</f>
        <v>0.5</v>
      </c>
    </row>
    <row r="39" customFormat="false" ht="15" hidden="false" customHeight="false" outlineLevel="0" collapsed="false">
      <c r="A39" s="11" t="s">
        <v>250</v>
      </c>
      <c r="B39" s="11" t="n">
        <v>3</v>
      </c>
      <c r="C39" s="11" t="s">
        <v>216</v>
      </c>
      <c r="D39" s="11" t="s">
        <v>252</v>
      </c>
      <c r="E39" s="33" t="n">
        <v>-0.004</v>
      </c>
      <c r="F39" s="34" t="n">
        <v>-0.02</v>
      </c>
      <c r="G39" s="34" t="n">
        <v>0</v>
      </c>
      <c r="H39" s="34" t="n">
        <v>0</v>
      </c>
      <c r="I39" s="11" t="n">
        <f aca="false">IF(INDEX($B$44:$B$53,MATCH(A39,$A$44:$A$53,0))=C39,1,0)</f>
        <v>0</v>
      </c>
      <c r="J39" s="18" t="n">
        <v>0.5</v>
      </c>
      <c r="K39" s="30" t="n">
        <f aca="false">I39*IF($B$3="All happen",1,J39)</f>
        <v>0</v>
      </c>
    </row>
    <row r="40" customFormat="false" ht="15" hidden="false" customHeight="false" outlineLevel="0" collapsed="false">
      <c r="A40" s="11" t="s">
        <v>250</v>
      </c>
      <c r="B40" s="11" t="n">
        <v>3</v>
      </c>
      <c r="C40" s="11" t="s">
        <v>218</v>
      </c>
      <c r="D40" s="11" t="s">
        <v>253</v>
      </c>
      <c r="E40" s="33" t="n">
        <v>0</v>
      </c>
      <c r="F40" s="34" t="n">
        <v>-0.01</v>
      </c>
      <c r="G40" s="34" t="n">
        <v>0</v>
      </c>
      <c r="H40" s="34" t="n">
        <v>0</v>
      </c>
      <c r="I40" s="11" t="n">
        <f aca="false">IF(INDEX($B$44:$B$53,MATCH(A40,$A$44:$A$53,0))=C40,1,0)</f>
        <v>0</v>
      </c>
      <c r="J40" s="18" t="n">
        <v>0.5</v>
      </c>
      <c r="K40" s="30" t="n">
        <f aca="false">I40*IF($B$3="All happen",1,J40)</f>
        <v>0</v>
      </c>
    </row>
    <row r="42" customFormat="false" ht="15" hidden="false" customHeight="false" outlineLevel="0" collapsed="false">
      <c r="A42" s="2" t="s">
        <v>254</v>
      </c>
    </row>
    <row r="43" customFormat="false" ht="39.55" hidden="false" customHeight="false" outlineLevel="0" collapsed="false">
      <c r="A43" s="3" t="s">
        <v>203</v>
      </c>
      <c r="B43" s="3" t="s">
        <v>255</v>
      </c>
    </row>
    <row r="44" customFormat="false" ht="15" hidden="false" customHeight="false" outlineLevel="0" collapsed="false">
      <c r="A44" s="11" t="s">
        <v>213</v>
      </c>
      <c r="B44" s="14" t="s">
        <v>214</v>
      </c>
    </row>
    <row r="45" customFormat="false" ht="15" hidden="false" customHeight="false" outlineLevel="0" collapsed="false">
      <c r="A45" s="11" t="s">
        <v>220</v>
      </c>
      <c r="B45" s="14" t="s">
        <v>214</v>
      </c>
    </row>
    <row r="46" customFormat="false" ht="15" hidden="false" customHeight="false" outlineLevel="0" collapsed="false">
      <c r="A46" s="11" t="s">
        <v>224</v>
      </c>
      <c r="B46" s="14" t="s">
        <v>214</v>
      </c>
    </row>
    <row r="47" customFormat="false" ht="15" hidden="false" customHeight="false" outlineLevel="0" collapsed="false">
      <c r="A47" s="11" t="s">
        <v>228</v>
      </c>
      <c r="B47" s="14" t="s">
        <v>214</v>
      </c>
    </row>
    <row r="48" customFormat="false" ht="15" hidden="false" customHeight="false" outlineLevel="0" collapsed="false">
      <c r="A48" s="11" t="s">
        <v>231</v>
      </c>
      <c r="B48" s="14" t="s">
        <v>214</v>
      </c>
    </row>
    <row r="49" customFormat="false" ht="15" hidden="false" customHeight="false" outlineLevel="0" collapsed="false">
      <c r="A49" s="11" t="s">
        <v>235</v>
      </c>
      <c r="B49" s="14" t="s">
        <v>214</v>
      </c>
    </row>
    <row r="50" customFormat="false" ht="15" hidden="false" customHeight="false" outlineLevel="0" collapsed="false">
      <c r="A50" s="11" t="s">
        <v>239</v>
      </c>
      <c r="B50" s="14" t="s">
        <v>214</v>
      </c>
    </row>
    <row r="51" customFormat="false" ht="15" hidden="false" customHeight="false" outlineLevel="0" collapsed="false">
      <c r="A51" s="11" t="s">
        <v>243</v>
      </c>
      <c r="B51" s="14" t="s">
        <v>214</v>
      </c>
    </row>
    <row r="52" customFormat="false" ht="15" hidden="false" customHeight="false" outlineLevel="0" collapsed="false">
      <c r="A52" s="11" t="s">
        <v>247</v>
      </c>
      <c r="B52" s="14" t="s">
        <v>214</v>
      </c>
    </row>
    <row r="53" customFormat="false" ht="15" hidden="false" customHeight="false" outlineLevel="0" collapsed="false">
      <c r="A53" s="11" t="s">
        <v>250</v>
      </c>
      <c r="B53" s="14" t="s">
        <v>214</v>
      </c>
    </row>
    <row r="55" customFormat="false" ht="15" hidden="false" customHeight="false" outlineLevel="0" collapsed="false">
      <c r="A55" s="15" t="s">
        <v>256</v>
      </c>
    </row>
  </sheetData>
  <dataValidations count="2">
    <dataValidation allowBlank="false" errorStyle="stop" operator="between" showDropDown="false" showErrorMessage="false" showInputMessage="false" sqref="B3" type="list">
      <formula1>"Expected,All happen"</formula1>
      <formula2>0</formula2>
    </dataValidation>
    <dataValidation allowBlank="false" errorStyle="stop" operator="between" showDropDown="false" showErrorMessage="false" showInputMessage="false" sqref="B44:B53" type="list">
      <formula1>"A,B,C"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7" min="2" style="0" width="20"/>
  </cols>
  <sheetData>
    <row r="1" customFormat="false" ht="17.35" hidden="false" customHeight="false" outlineLevel="0" collapsed="false">
      <c r="A1" s="1" t="s">
        <v>257</v>
      </c>
    </row>
    <row r="2" customFormat="false" ht="15" hidden="false" customHeight="false" outlineLevel="0" collapsed="false">
      <c r="A2" s="11" t="s">
        <v>258</v>
      </c>
    </row>
    <row r="4" customFormat="false" ht="48" hidden="false" customHeight="true" outlineLevel="0" collapsed="false">
      <c r="A4" s="3" t="s">
        <v>2</v>
      </c>
      <c r="B4" s="3" t="s">
        <v>3</v>
      </c>
      <c r="C4" s="3" t="s">
        <v>138</v>
      </c>
      <c r="D4" s="3" t="s">
        <v>259</v>
      </c>
      <c r="E4" s="3" t="s">
        <v>260</v>
      </c>
      <c r="F4" s="3" t="s">
        <v>261</v>
      </c>
      <c r="G4" s="3" t="s">
        <v>262</v>
      </c>
    </row>
    <row r="5" customFormat="false" ht="15" hidden="false" customHeight="false" outlineLevel="0" collapsed="false">
      <c r="A5" s="4" t="n">
        <f aca="false">Model!A5</f>
        <v>1</v>
      </c>
      <c r="B5" s="11" t="str">
        <f aca="false">Model!B5</f>
        <v>Village Green</v>
      </c>
      <c r="C5" s="29" t="n">
        <f aca="false">Model!F5</f>
        <v>25</v>
      </c>
      <c r="D5" s="14" t="n">
        <v>2</v>
      </c>
      <c r="E5" s="29" t="n">
        <f aca="false">Inputs!$B$11*C5/1.25</f>
        <v>6</v>
      </c>
      <c r="F5" s="6" t="n">
        <f aca="false">E5*100/D5</f>
        <v>300</v>
      </c>
      <c r="G5" s="6" t="n">
        <f aca="false">Inputs!$B$11*Model!G5</f>
        <v>3750</v>
      </c>
    </row>
    <row r="6" customFormat="false" ht="15" hidden="false" customHeight="false" outlineLevel="0" collapsed="false">
      <c r="A6" s="4" t="n">
        <f aca="false">Model!A6</f>
        <v>2</v>
      </c>
      <c r="B6" s="11" t="str">
        <f aca="false">Model!B6</f>
        <v>The Local Field</v>
      </c>
      <c r="C6" s="29" t="n">
        <f aca="false">Model!F6</f>
        <v>30</v>
      </c>
      <c r="D6" s="14" t="n">
        <v>3</v>
      </c>
      <c r="E6" s="29" t="n">
        <f aca="false">Inputs!$B$11*C6/1.25</f>
        <v>7.2</v>
      </c>
      <c r="F6" s="6" t="n">
        <f aca="false">E6*100/D6</f>
        <v>240</v>
      </c>
      <c r="G6" s="6" t="n">
        <f aca="false">Inputs!$B$11*Model!G6</f>
        <v>13500</v>
      </c>
    </row>
    <row r="7" customFormat="false" ht="15" hidden="false" customHeight="false" outlineLevel="0" collapsed="false">
      <c r="A7" s="4" t="n">
        <f aca="false">Model!A7</f>
        <v>3</v>
      </c>
      <c r="B7" s="11" t="str">
        <f aca="false">Model!B7</f>
        <v>Two Stages</v>
      </c>
      <c r="C7" s="29" t="n">
        <f aca="false">Model!F7</f>
        <v>40</v>
      </c>
      <c r="D7" s="14" t="n">
        <v>3</v>
      </c>
      <c r="E7" s="29" t="n">
        <f aca="false">Inputs!$B$11*C7/1.25</f>
        <v>9.6</v>
      </c>
      <c r="F7" s="6" t="n">
        <f aca="false">E7*100/D7</f>
        <v>320</v>
      </c>
      <c r="G7" s="6" t="n">
        <f aca="false">Inputs!$B$11*Model!G7</f>
        <v>36000</v>
      </c>
    </row>
    <row r="8" customFormat="false" ht="15" hidden="false" customHeight="false" outlineLevel="0" collapsed="false">
      <c r="A8" s="4" t="n">
        <f aca="false">Model!A8</f>
        <v>4</v>
      </c>
      <c r="B8" s="11" t="str">
        <f aca="false">Model!B8</f>
        <v>First Overnight</v>
      </c>
      <c r="C8" s="29" t="n">
        <f aca="false">Model!F8</f>
        <v>82.5</v>
      </c>
      <c r="D8" s="14" t="n">
        <v>5</v>
      </c>
      <c r="E8" s="29" t="n">
        <f aca="false">Inputs!$B$11*C8/1.25</f>
        <v>19.8</v>
      </c>
      <c r="F8" s="6" t="n">
        <f aca="false">E8*100/D8</f>
        <v>396</v>
      </c>
      <c r="G8" s="6" t="n">
        <f aca="false">Inputs!$B$11*Model!G8</f>
        <v>123750</v>
      </c>
    </row>
    <row r="9" customFormat="false" ht="15" hidden="false" customHeight="false" outlineLevel="0" collapsed="false">
      <c r="A9" s="4" t="n">
        <f aca="false">Model!A9</f>
        <v>5</v>
      </c>
      <c r="B9" s="11" t="str">
        <f aca="false">Model!B9</f>
        <v>Themed Weekend</v>
      </c>
      <c r="C9" s="29" t="n">
        <f aca="false">Model!F9</f>
        <v>82.5</v>
      </c>
      <c r="D9" s="14" t="n">
        <v>6</v>
      </c>
      <c r="E9" s="29" t="n">
        <f aca="false">Inputs!$B$11*C9/1.25</f>
        <v>19.8</v>
      </c>
      <c r="F9" s="6" t="n">
        <f aca="false">E9*100/D9</f>
        <v>330</v>
      </c>
      <c r="G9" s="6" t="n">
        <f aca="false">Inputs!$B$11*Model!G9</f>
        <v>123750</v>
      </c>
    </row>
    <row r="10" customFormat="false" ht="15" hidden="false" customHeight="false" outlineLevel="0" collapsed="false">
      <c r="A10" s="4" t="n">
        <f aca="false">Model!A10</f>
        <v>6</v>
      </c>
      <c r="B10" s="11" t="str">
        <f aca="false">Model!B10</f>
        <v>Growing Up</v>
      </c>
      <c r="C10" s="29" t="n">
        <f aca="false">Model!F10</f>
        <v>140</v>
      </c>
      <c r="D10" s="14" t="n">
        <v>7</v>
      </c>
      <c r="E10" s="29" t="n">
        <f aca="false">Inputs!$B$11*C10/1.25</f>
        <v>33.6</v>
      </c>
      <c r="F10" s="6" t="n">
        <f aca="false">E10*100/D10</f>
        <v>480</v>
      </c>
      <c r="G10" s="6" t="n">
        <f aca="false">Inputs!$B$11*Model!G10</f>
        <v>420000</v>
      </c>
    </row>
    <row r="11" customFormat="false" ht="15" hidden="false" customHeight="false" outlineLevel="0" collapsed="false">
      <c r="A11" s="4" t="n">
        <f aca="false">Model!A11</f>
        <v>7</v>
      </c>
      <c r="B11" s="11" t="str">
        <f aca="false">Model!B11</f>
        <v>The Big Booking</v>
      </c>
      <c r="C11" s="29" t="n">
        <f aca="false">Model!F11</f>
        <v>170</v>
      </c>
      <c r="D11" s="14" t="n">
        <v>7</v>
      </c>
      <c r="E11" s="29" t="n">
        <f aca="false">Inputs!$B$11*C11/1.25</f>
        <v>40.8</v>
      </c>
      <c r="F11" s="6" t="n">
        <f aca="false">E11*100/D11</f>
        <v>582.857142857143</v>
      </c>
      <c r="G11" s="6" t="n">
        <f aca="false">Inputs!$B$11*Model!G11</f>
        <v>765000</v>
      </c>
    </row>
    <row r="12" customFormat="false" ht="15" hidden="false" customHeight="false" outlineLevel="0" collapsed="false">
      <c r="A12" s="4" t="n">
        <f aca="false">Model!A12</f>
        <v>8</v>
      </c>
      <c r="B12" s="11" t="str">
        <f aca="false">Model!B12</f>
        <v>Logistics</v>
      </c>
      <c r="C12" s="29" t="n">
        <f aca="false">Model!F12</f>
        <v>200</v>
      </c>
      <c r="D12" s="14" t="n">
        <v>8</v>
      </c>
      <c r="E12" s="29" t="n">
        <f aca="false">Inputs!$B$11*C12/1.25</f>
        <v>48</v>
      </c>
      <c r="F12" s="6" t="n">
        <f aca="false">E12*100/D12</f>
        <v>600</v>
      </c>
      <c r="G12" s="6" t="n">
        <f aca="false">Inputs!$B$11*Model!G12</f>
        <v>1500000</v>
      </c>
    </row>
    <row r="13" customFormat="false" ht="15" hidden="false" customHeight="false" outlineLevel="0" collapsed="false">
      <c r="A13" s="4" t="n">
        <f aca="false">Model!A13</f>
        <v>9</v>
      </c>
      <c r="B13" s="11" t="str">
        <f aca="false">Model!B13</f>
        <v>The Council</v>
      </c>
      <c r="C13" s="29" t="n">
        <f aca="false">Model!F13</f>
        <v>220</v>
      </c>
      <c r="D13" s="14" t="n">
        <v>8</v>
      </c>
      <c r="E13" s="29" t="n">
        <f aca="false">Inputs!$B$11*C13/1.25</f>
        <v>52.8</v>
      </c>
      <c r="F13" s="6" t="n">
        <f aca="false">E13*100/D13</f>
        <v>660</v>
      </c>
      <c r="G13" s="6" t="n">
        <f aca="false">Inputs!$B$11*Model!G13</f>
        <v>1980000</v>
      </c>
    </row>
    <row r="14" customFormat="false" ht="15" hidden="false" customHeight="false" outlineLevel="0" collapsed="false">
      <c r="A14" s="4" t="n">
        <f aca="false">Model!A14</f>
        <v>10</v>
      </c>
      <c r="B14" s="11" t="str">
        <f aca="false">Model!B14</f>
        <v>Flagship</v>
      </c>
      <c r="C14" s="29" t="n">
        <f aca="false">Model!F14</f>
        <v>325</v>
      </c>
      <c r="D14" s="14" t="n">
        <v>8</v>
      </c>
      <c r="E14" s="29" t="n">
        <f aca="false">Inputs!$B$11*C14/1.25</f>
        <v>78</v>
      </c>
      <c r="F14" s="6" t="n">
        <f aca="false">E14*100/D14</f>
        <v>975</v>
      </c>
      <c r="G14" s="6" t="n">
        <f aca="false">Inputs!$B$11*Model!G14</f>
        <v>4875000</v>
      </c>
    </row>
    <row r="16" customFormat="false" ht="15" hidden="false" customHeight="false" outlineLevel="0" collapsed="false">
      <c r="A16" s="11"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2026-10-18T11:41:45Z</dcterms:created>
  <dc:creator>openpyxl</dc:creator>
  <dc:description/>
  <dc:language>en-US</dc:language>
  <cp:lastModifiedBy/>
  <dcterms:modified xsi:type="dcterms:W3CDTF">2026-10-18T11:41:45Z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